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dels\TEMPLATES\"/>
    </mc:Choice>
  </mc:AlternateContent>
  <xr:revisionPtr revIDLastSave="0" documentId="13_ncr:1_{FCCEEAAF-68D7-4E6F-8DF6-27B7F611E863}" xr6:coauthVersionLast="47" xr6:coauthVersionMax="47" xr10:uidLastSave="{00000000-0000-0000-0000-000000000000}"/>
  <bookViews>
    <workbookView xWindow="-120" yWindow="-120" windowWidth="29040" windowHeight="15720" xr2:uid="{8F5191C8-47CB-4EE2-A5A1-3D33F0C78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H38" i="1"/>
  <c r="H37" i="1"/>
  <c r="H36" i="1"/>
  <c r="H35" i="1"/>
  <c r="H34" i="1"/>
  <c r="H33" i="1"/>
  <c r="H31" i="1"/>
  <c r="H30" i="1"/>
  <c r="H28" i="1"/>
  <c r="H29" i="1"/>
  <c r="H27" i="1"/>
  <c r="H26" i="1" l="1"/>
  <c r="G36" i="1"/>
  <c r="G32" i="1"/>
  <c r="G27" i="1"/>
  <c r="F36" i="1"/>
  <c r="F32" i="1"/>
  <c r="F27" i="1"/>
  <c r="E37" i="1"/>
  <c r="E36" i="1"/>
  <c r="E33" i="1"/>
  <c r="E32" i="1"/>
  <c r="E28" i="1"/>
  <c r="E27" i="1"/>
  <c r="D38" i="1"/>
  <c r="D33" i="1"/>
  <c r="D31" i="1"/>
  <c r="D29" i="1"/>
  <c r="D37" i="1"/>
  <c r="D36" i="1"/>
  <c r="D35" i="1"/>
  <c r="D34" i="1"/>
  <c r="D28" i="1"/>
  <c r="D32" i="1"/>
  <c r="D30" i="1"/>
  <c r="D27" i="1"/>
  <c r="D26" i="1"/>
  <c r="E17" i="1"/>
  <c r="E16" i="1"/>
  <c r="E15" i="1"/>
  <c r="E14" i="1"/>
  <c r="E13" i="1"/>
  <c r="E12" i="1"/>
  <c r="E11" i="1"/>
  <c r="E10" i="1"/>
  <c r="D9" i="1"/>
  <c r="E9" i="1" s="1"/>
  <c r="D8" i="1"/>
  <c r="E8" i="1" s="1"/>
  <c r="E18" i="1" l="1"/>
  <c r="F8" i="1" l="1"/>
  <c r="G8" i="1" s="1"/>
  <c r="F11" i="1"/>
  <c r="G11" i="1" s="1"/>
  <c r="F17" i="1"/>
  <c r="G17" i="1" s="1"/>
  <c r="F15" i="1"/>
  <c r="G15" i="1" s="1"/>
  <c r="F13" i="1"/>
  <c r="G13" i="1" s="1"/>
  <c r="F16" i="1"/>
  <c r="G16" i="1" s="1"/>
  <c r="F14" i="1"/>
  <c r="G14" i="1" s="1"/>
  <c r="F12" i="1"/>
  <c r="G12" i="1" s="1"/>
  <c r="F10" i="1"/>
  <c r="G10" i="1" s="1"/>
  <c r="F9" i="1"/>
  <c r="G9" i="1" s="1"/>
  <c r="G18" i="1" l="1"/>
</calcChain>
</file>

<file path=xl/sharedStrings.xml><?xml version="1.0" encoding="utf-8"?>
<sst xmlns="http://schemas.openxmlformats.org/spreadsheetml/2006/main" count="54" uniqueCount="45">
  <si>
    <t xml:space="preserve"> ROIC vs WACC</t>
  </si>
  <si>
    <t>Calculating WAAC, g, forecasted rev%  from scratch</t>
  </si>
  <si>
    <t>The "Football Field" Chart</t>
  </si>
  <si>
    <t>Created on 1/4/2026</t>
  </si>
  <si>
    <t>Fixed Income Analysis Practice</t>
  </si>
  <si>
    <t>Period</t>
  </si>
  <si>
    <t>10yr bond</t>
  </si>
  <si>
    <t>Yield to Maturity</t>
  </si>
  <si>
    <t>Coupon Rate</t>
  </si>
  <si>
    <t>Notional Amount</t>
  </si>
  <si>
    <t>Cash flow</t>
  </si>
  <si>
    <t>PV of CF</t>
  </si>
  <si>
    <t>PV as % of total</t>
  </si>
  <si>
    <t>PV%*Period</t>
  </si>
  <si>
    <t>NOTIONAL AMOUNT* COUPON RATE</t>
  </si>
  <si>
    <t>PV OF CF</t>
  </si>
  <si>
    <t>CF/(1+YIELD TO MATURITY)^PERIOD</t>
  </si>
  <si>
    <t>PV as % of Total</t>
  </si>
  <si>
    <t>Bond fair value</t>
  </si>
  <si>
    <t>PV of CF/BOND FAIR VALUE</t>
  </si>
  <si>
    <t>Macaulay Duration</t>
  </si>
  <si>
    <t>Convexity</t>
  </si>
  <si>
    <t xml:space="preserve">SUM </t>
  </si>
  <si>
    <t>if rates rise by 1%, Price of our bond will fall by 8.36%</t>
  </si>
  <si>
    <t>Bond Price</t>
  </si>
  <si>
    <t>Convexity + Duration implied price</t>
  </si>
  <si>
    <t>Duration implied price</t>
  </si>
  <si>
    <t>Dollar Duration</t>
  </si>
  <si>
    <t>Dollar Convexity</t>
  </si>
  <si>
    <t>MINUS -PV(YTM,TOTAL PERIOD, CR*NA, NA)</t>
  </si>
  <si>
    <t>1ST DERIVATIVE</t>
  </si>
  <si>
    <t>2ND DERIVATIVE</t>
  </si>
  <si>
    <t>DOLLAR CONVEXITY / BOND PRICE</t>
  </si>
  <si>
    <t>CHANGE IN BOND PRICE - DURATION (CHANGE IN YTM) + 1/2 CONVEXITY(Change in YTM)</t>
  </si>
  <si>
    <t>(CHANGE DOLLAR DURATION)/( CHANGE YTM)</t>
  </si>
  <si>
    <t>(CHANGE BOND PRICE) /(CHANGE YTM)</t>
  </si>
  <si>
    <t>-</t>
  </si>
  <si>
    <t>(1+(-MACA DURATION*(CURRENT YTM-BASE YTM)))* Bond Fair Value</t>
  </si>
  <si>
    <t xml:space="preserve">Convexity  </t>
  </si>
  <si>
    <t>(1+(-MACA DURATION*(CURRENT YTM-BASE YTM)) +(0.5*CONVEXITY*(CURRENT YTM - BASE YTM)^2)))*Bond Fair Price</t>
  </si>
  <si>
    <t>Modified MAC Dur</t>
  </si>
  <si>
    <t>MACA DUR</t>
  </si>
  <si>
    <t>EFFECTIVE MATURITY</t>
  </si>
  <si>
    <t>SUM</t>
  </si>
  <si>
    <t>MAC/(1+BASE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</si>
</sst>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3" fontId="0" fillId="0" borderId="0" xfId="0" applyNumberFormat="1" applyAlignment="1">
      <alignment wrapText="1"/>
    </xf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3" fontId="1" fillId="0" borderId="0" xfId="0" applyNumberFormat="1" applyFont="1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1" fillId="2" borderId="0" xfId="0" applyFont="1" applyFill="1"/>
    <xf numFmtId="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9" fontId="1" fillId="4" borderId="0" xfId="0" applyNumberFormat="1" applyFont="1" applyFill="1"/>
    <xf numFmtId="4" fontId="0" fillId="4" borderId="0" xfId="0" applyNumberFormat="1" applyFill="1"/>
    <xf numFmtId="10" fontId="0" fillId="4" borderId="0" xfId="0" applyNumberFormat="1" applyFill="1"/>
    <xf numFmtId="9" fontId="0" fillId="4" borderId="0" xfId="0" applyNumberFormat="1" applyFill="1"/>
    <xf numFmtId="10" fontId="1" fillId="4" borderId="0" xfId="0" applyNumberFormat="1" applyFont="1" applyFill="1"/>
    <xf numFmtId="0" fontId="0" fillId="5" borderId="0" xfId="0" applyFill="1"/>
    <xf numFmtId="4" fontId="1" fillId="0" borderId="0" xfId="0" applyNumberFormat="1" applyFont="1"/>
    <xf numFmtId="4" fontId="1" fillId="5" borderId="0" xfId="0" applyNumberFormat="1" applyFont="1" applyFill="1"/>
    <xf numFmtId="3" fontId="0" fillId="5" borderId="0" xfId="0" applyNumberFormat="1" applyFill="1"/>
    <xf numFmtId="164" fontId="0" fillId="3" borderId="0" xfId="0" applyNumberFormat="1" applyFill="1"/>
    <xf numFmtId="0" fontId="3" fillId="3" borderId="0" xfId="0" applyFont="1" applyFill="1"/>
    <xf numFmtId="3" fontId="0" fillId="3" borderId="0" xfId="0" applyNumberFormat="1" applyFill="1"/>
    <xf numFmtId="166" fontId="0" fillId="0" borderId="0" xfId="0" applyNumberFormat="1"/>
    <xf numFmtId="10" fontId="0" fillId="6" borderId="0" xfId="0" applyNumberFormat="1" applyFill="1"/>
    <xf numFmtId="4" fontId="0" fillId="6" borderId="0" xfId="0" applyNumberFormat="1" applyFill="1"/>
    <xf numFmtId="165" fontId="0" fillId="6" borderId="0" xfId="0" applyNumberFormat="1" applyFill="1"/>
    <xf numFmtId="166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79375</xdr:rowOff>
    </xdr:from>
    <xdr:to>
      <xdr:col>11</xdr:col>
      <xdr:colOff>10798</xdr:colOff>
      <xdr:row>133</xdr:row>
      <xdr:rowOff>24423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106E9C-B42E-FF16-9311-85A1530F5D79}"/>
            </a:ext>
          </a:extLst>
        </xdr:cNvPr>
        <xdr:cNvCxnSpPr/>
      </xdr:nvCxnSpPr>
      <xdr:spPr>
        <a:xfrm>
          <a:off x="7302500" y="79375"/>
          <a:ext cx="10798" cy="24954279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39079</xdr:colOff>
      <xdr:row>0</xdr:row>
      <xdr:rowOff>39688</xdr:rowOff>
    </xdr:from>
    <xdr:to>
      <xdr:col>19</xdr:col>
      <xdr:colOff>39079</xdr:colOff>
      <xdr:row>132</xdr:row>
      <xdr:rowOff>183173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1F5DD98-984D-46FC-B8DA-059BD65B9AA4}"/>
            </a:ext>
          </a:extLst>
        </xdr:cNvPr>
        <xdr:cNvCxnSpPr/>
      </xdr:nvCxnSpPr>
      <xdr:spPr>
        <a:xfrm>
          <a:off x="13578186" y="39688"/>
          <a:ext cx="0" cy="2521950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CA69-3647-4E1C-B8CB-F8563FF972AE}">
  <dimension ref="A1:W194"/>
  <sheetViews>
    <sheetView tabSelected="1" zoomScale="98" zoomScaleNormal="98" workbookViewId="0">
      <selection activeCell="B22" sqref="B21:B22"/>
    </sheetView>
  </sheetViews>
  <sheetFormatPr defaultRowHeight="15" x14ac:dyDescent="0.25"/>
  <cols>
    <col min="2" max="2" width="14" customWidth="1"/>
    <col min="3" max="3" width="11" customWidth="1"/>
    <col min="5" max="5" width="9.85546875" customWidth="1"/>
    <col min="6" max="6" width="10.28515625" customWidth="1"/>
    <col min="7" max="7" width="11.7109375" customWidth="1"/>
    <col min="8" max="8" width="11.42578125" customWidth="1"/>
    <col min="9" max="9" width="11.140625" customWidth="1"/>
    <col min="10" max="10" width="10.28515625" customWidth="1"/>
    <col min="11" max="11" width="10.28515625" bestFit="1" customWidth="1"/>
    <col min="12" max="12" width="11.28515625" bestFit="1" customWidth="1"/>
    <col min="13" max="15" width="11.28515625" customWidth="1"/>
    <col min="16" max="16" width="11.28515625" bestFit="1" customWidth="1"/>
    <col min="17" max="18" width="11.5703125" customWidth="1"/>
    <col min="19" max="19" width="10.28515625" bestFit="1" customWidth="1"/>
    <col min="21" max="21" width="9.85546875" customWidth="1"/>
    <col min="22" max="22" width="11" customWidth="1"/>
  </cols>
  <sheetData>
    <row r="1" spans="1:23" x14ac:dyDescent="0.25">
      <c r="A1" s="5"/>
      <c r="B1" s="8"/>
      <c r="C1" s="8" t="s">
        <v>3</v>
      </c>
      <c r="D1" s="8"/>
      <c r="E1" s="8"/>
      <c r="F1" s="8"/>
      <c r="G1" s="8"/>
      <c r="H1" s="7" t="s">
        <v>4</v>
      </c>
      <c r="I1" s="8"/>
      <c r="J1" s="8"/>
      <c r="K1" s="8"/>
      <c r="L1" s="8"/>
      <c r="M1" s="8"/>
      <c r="N1" s="8"/>
      <c r="O1" s="8"/>
      <c r="P1" s="8"/>
    </row>
    <row r="3" spans="1:23" x14ac:dyDescent="0.25">
      <c r="A3" s="5"/>
      <c r="C3" t="s">
        <v>7</v>
      </c>
      <c r="E3" s="3">
        <v>0.05</v>
      </c>
      <c r="F3" s="1"/>
      <c r="U3" s="1"/>
      <c r="V3" s="1"/>
    </row>
    <row r="4" spans="1:23" x14ac:dyDescent="0.25">
      <c r="C4" t="s">
        <v>8</v>
      </c>
      <c r="E4" s="3">
        <v>0.04</v>
      </c>
      <c r="F4" s="1"/>
      <c r="L4" t="s">
        <v>10</v>
      </c>
      <c r="M4" t="s">
        <v>14</v>
      </c>
      <c r="U4" s="1"/>
    </row>
    <row r="5" spans="1:23" x14ac:dyDescent="0.25">
      <c r="C5" t="s">
        <v>9</v>
      </c>
      <c r="E5">
        <v>100</v>
      </c>
      <c r="F5" s="1"/>
      <c r="L5" t="s">
        <v>15</v>
      </c>
      <c r="M5" t="s">
        <v>16</v>
      </c>
      <c r="U5" s="1"/>
    </row>
    <row r="6" spans="1:23" x14ac:dyDescent="0.25">
      <c r="F6" s="1"/>
      <c r="L6" t="s">
        <v>17</v>
      </c>
      <c r="M6" t="s">
        <v>19</v>
      </c>
      <c r="U6" s="1"/>
    </row>
    <row r="7" spans="1:23" x14ac:dyDescent="0.25">
      <c r="B7" s="5" t="s">
        <v>6</v>
      </c>
      <c r="C7" s="8" t="s">
        <v>5</v>
      </c>
      <c r="D7" s="8" t="s">
        <v>10</v>
      </c>
      <c r="E7" s="8" t="s">
        <v>11</v>
      </c>
      <c r="F7" s="29" t="s">
        <v>12</v>
      </c>
      <c r="G7" s="8" t="s">
        <v>13</v>
      </c>
      <c r="U7" s="1"/>
    </row>
    <row r="8" spans="1:23" x14ac:dyDescent="0.25">
      <c r="C8">
        <v>1</v>
      </c>
      <c r="D8" s="1">
        <f>E5*E4</f>
        <v>4</v>
      </c>
      <c r="E8" s="10">
        <f>D8/(1+E3)^C8</f>
        <v>3.8095238095238093</v>
      </c>
      <c r="F8" s="15">
        <f>E8/E18</f>
        <v>4.1283002087223311E-2</v>
      </c>
      <c r="G8" s="10">
        <f>F8*C8</f>
        <v>4.1283002087223311E-2</v>
      </c>
      <c r="U8" s="1"/>
    </row>
    <row r="9" spans="1:23" x14ac:dyDescent="0.25">
      <c r="C9">
        <v>2</v>
      </c>
      <c r="D9">
        <f>E5*E4</f>
        <v>4</v>
      </c>
      <c r="E9" s="10">
        <f>D9/(1+E3)^C9</f>
        <v>3.6281179138321993</v>
      </c>
      <c r="F9" s="15">
        <f>E9/E18</f>
        <v>3.9317144844974582E-2</v>
      </c>
      <c r="G9" s="10">
        <f t="shared" ref="G9:G17" si="0">F9*C9</f>
        <v>7.8634289689949163E-2</v>
      </c>
      <c r="U9" s="1"/>
      <c r="V9" s="1"/>
    </row>
    <row r="10" spans="1:23" x14ac:dyDescent="0.25">
      <c r="C10">
        <v>3</v>
      </c>
      <c r="D10">
        <v>4</v>
      </c>
      <c r="E10" s="10">
        <f>D10/(1+E3)^C10</f>
        <v>3.4553503941259041</v>
      </c>
      <c r="F10" s="15">
        <f>E10/E18</f>
        <v>3.7444899852356744E-2</v>
      </c>
      <c r="G10" s="10">
        <f t="shared" si="0"/>
        <v>0.11233469955707023</v>
      </c>
    </row>
    <row r="11" spans="1:23" x14ac:dyDescent="0.25">
      <c r="C11">
        <v>4</v>
      </c>
      <c r="D11">
        <v>4</v>
      </c>
      <c r="E11" s="10">
        <f>D11/(1+E3)^C11</f>
        <v>3.2908098991675279</v>
      </c>
      <c r="F11" s="15">
        <f>E11/E18</f>
        <v>3.56618093831969E-2</v>
      </c>
      <c r="G11" s="10">
        <f t="shared" si="0"/>
        <v>0.1426472375327876</v>
      </c>
    </row>
    <row r="12" spans="1:23" x14ac:dyDescent="0.25">
      <c r="C12">
        <v>5</v>
      </c>
      <c r="D12">
        <v>4</v>
      </c>
      <c r="E12" s="10">
        <f>D12/(1+E3)^C12</f>
        <v>3.1341046658738358</v>
      </c>
      <c r="F12" s="15">
        <f>E12/($E18)</f>
        <v>3.3963627983997047E-2</v>
      </c>
      <c r="G12" s="10">
        <f t="shared" si="0"/>
        <v>0.16981813991998523</v>
      </c>
    </row>
    <row r="13" spans="1:23" x14ac:dyDescent="0.25">
      <c r="A13" s="1"/>
      <c r="B13" s="1"/>
      <c r="C13" s="1">
        <v>6</v>
      </c>
      <c r="D13">
        <v>4</v>
      </c>
      <c r="E13" s="10">
        <f>D13/(1+E3)^C13</f>
        <v>2.9848615865465105</v>
      </c>
      <c r="F13" s="15">
        <f>E13/($E18)</f>
        <v>3.2346312365711477E-2</v>
      </c>
      <c r="G13" s="10">
        <f t="shared" si="0"/>
        <v>0.19407787419426886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C14">
        <v>7</v>
      </c>
      <c r="D14">
        <v>4</v>
      </c>
      <c r="E14" s="10">
        <f>D14/(1+E3)^C14</f>
        <v>2.8427253205204859</v>
      </c>
      <c r="F14" s="15">
        <f>E14/E18</f>
        <v>3.0806011776868071E-2</v>
      </c>
      <c r="G14" s="10">
        <f t="shared" si="0"/>
        <v>0.2156420824380765</v>
      </c>
    </row>
    <row r="15" spans="1:23" x14ac:dyDescent="0.25">
      <c r="C15">
        <v>8</v>
      </c>
      <c r="D15">
        <v>4</v>
      </c>
      <c r="E15" s="10">
        <f>D15/(1+E3)^C15</f>
        <v>2.7073574481147489</v>
      </c>
      <c r="F15" s="15">
        <f>E15/E18</f>
        <v>2.9339058835112453E-2</v>
      </c>
      <c r="G15" s="10">
        <f t="shared" si="0"/>
        <v>0.23471247068089962</v>
      </c>
      <c r="V15" s="1"/>
    </row>
    <row r="16" spans="1:23" x14ac:dyDescent="0.25">
      <c r="C16">
        <v>9</v>
      </c>
      <c r="D16">
        <v>4</v>
      </c>
      <c r="E16" s="10">
        <f>D16/(1+E3)^C16</f>
        <v>2.578435664871189</v>
      </c>
      <c r="F16" s="15">
        <f>E16/E18</f>
        <v>2.7941960795345187E-2</v>
      </c>
      <c r="G16" s="10">
        <f t="shared" si="0"/>
        <v>0.25147764715810667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V16" s="1"/>
    </row>
    <row r="17" spans="1:22" x14ac:dyDescent="0.25">
      <c r="C17">
        <v>10</v>
      </c>
      <c r="D17">
        <v>104</v>
      </c>
      <c r="E17" s="10">
        <f>D17/(1+E3)^C17</f>
        <v>63.846978368238972</v>
      </c>
      <c r="F17" s="15">
        <f>E17/E18</f>
        <v>0.69189617207521426</v>
      </c>
      <c r="G17" s="10">
        <f t="shared" si="0"/>
        <v>6.9189617207521428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V17" s="1"/>
    </row>
    <row r="18" spans="1:22" x14ac:dyDescent="0.25">
      <c r="B18" s="5" t="s">
        <v>18</v>
      </c>
      <c r="E18" s="10">
        <f>SUM(E8:E17)</f>
        <v>92.278265070815181</v>
      </c>
      <c r="F18" s="2"/>
      <c r="G18" s="10">
        <f>SUM(G8:G17)</f>
        <v>8.3595891640105098</v>
      </c>
      <c r="H18" s="2" t="s">
        <v>22</v>
      </c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V18" s="1"/>
    </row>
    <row r="19" spans="1:22" x14ac:dyDescent="0.25"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V19" s="1"/>
    </row>
    <row r="20" spans="1:22" x14ac:dyDescent="0.25">
      <c r="A20" s="1"/>
      <c r="B20" s="1"/>
      <c r="C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1"/>
    </row>
    <row r="21" spans="1:22" x14ac:dyDescent="0.25">
      <c r="B21" t="s">
        <v>20</v>
      </c>
      <c r="C21">
        <v>8.36</v>
      </c>
      <c r="E21" t="s">
        <v>23</v>
      </c>
      <c r="F21" s="1"/>
      <c r="G21" s="1"/>
      <c r="H21" s="1"/>
      <c r="I21" s="1"/>
      <c r="J21" s="1"/>
      <c r="K21" s="1"/>
      <c r="L21" s="1" t="s">
        <v>41</v>
      </c>
      <c r="M21" s="1" t="s">
        <v>42</v>
      </c>
      <c r="N21" s="1"/>
      <c r="O21" s="1" t="s">
        <v>43</v>
      </c>
      <c r="P21" s="1"/>
      <c r="Q21" s="1"/>
      <c r="R21" s="1"/>
      <c r="S21" s="1"/>
      <c r="T21" s="1"/>
      <c r="V21" s="1"/>
    </row>
    <row r="22" spans="1:22" x14ac:dyDescent="0.25">
      <c r="B22" t="s">
        <v>21</v>
      </c>
      <c r="C22">
        <v>78.290000000000006</v>
      </c>
      <c r="F22" s="1"/>
      <c r="G22" s="1"/>
      <c r="H22" s="1"/>
      <c r="I22" s="1"/>
      <c r="J22" s="1"/>
      <c r="K22" s="1"/>
      <c r="L22" t="s">
        <v>40</v>
      </c>
      <c r="M22" s="1"/>
      <c r="N22" s="1"/>
      <c r="O22" s="1" t="s">
        <v>44</v>
      </c>
      <c r="P22" s="1"/>
      <c r="Q22" s="1"/>
      <c r="R22" s="1"/>
      <c r="S22" s="1"/>
      <c r="T22" s="1"/>
      <c r="V22" s="1"/>
    </row>
    <row r="23" spans="1:22" x14ac:dyDescent="0.25">
      <c r="B23" t="s">
        <v>40</v>
      </c>
      <c r="C23" s="10">
        <f>C21/(1+C32)</f>
        <v>7.9619047619047612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1"/>
    </row>
    <row r="24" spans="1:22" x14ac:dyDescent="0.25">
      <c r="F24" s="1"/>
      <c r="G24" s="1" t="s">
        <v>30</v>
      </c>
      <c r="H24" s="1" t="s">
        <v>31</v>
      </c>
      <c r="I24" s="1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2" x14ac:dyDescent="0.25">
      <c r="C25" s="8" t="s">
        <v>7</v>
      </c>
      <c r="D25" s="8" t="s">
        <v>24</v>
      </c>
      <c r="E25" s="8" t="s">
        <v>27</v>
      </c>
      <c r="F25" s="29" t="s">
        <v>28</v>
      </c>
      <c r="G25" s="29" t="s">
        <v>21</v>
      </c>
      <c r="H25" s="29" t="s">
        <v>26</v>
      </c>
      <c r="I25" s="29" t="s">
        <v>25</v>
      </c>
      <c r="J25" s="10" t="s">
        <v>36</v>
      </c>
      <c r="L25" s="1" t="s">
        <v>24</v>
      </c>
      <c r="M25" s="1"/>
      <c r="N25" s="1"/>
      <c r="O25" s="1" t="s">
        <v>29</v>
      </c>
      <c r="P25" s="1"/>
      <c r="Q25" s="1"/>
      <c r="R25" s="1"/>
      <c r="S25" s="1"/>
      <c r="T25" s="1"/>
    </row>
    <row r="26" spans="1:22" x14ac:dyDescent="0.25">
      <c r="C26" s="12">
        <v>0.03</v>
      </c>
      <c r="D26" s="10">
        <f>-PV(C26,C17,E4*E5,E5)</f>
        <v>108.53020283677583</v>
      </c>
      <c r="E26" s="10"/>
      <c r="F26" s="1"/>
      <c r="G26" s="1"/>
      <c r="H26" s="30">
        <f>(1+(-C21*(C26-C32)))*H32</f>
        <v>107.709216</v>
      </c>
      <c r="I26" s="10">
        <f>(1+(-$C$21*(C26-$C$32))+(0.5*$C$22*(C26-$C$32)^2))*$H$32</f>
        <v>109.15413624</v>
      </c>
      <c r="J26" s="10"/>
      <c r="K26" s="1"/>
      <c r="L26" s="1" t="s">
        <v>27</v>
      </c>
      <c r="M26" s="1"/>
      <c r="N26" s="1"/>
      <c r="O26" s="9" t="s">
        <v>35</v>
      </c>
      <c r="P26" s="9"/>
      <c r="Q26" s="9"/>
      <c r="R26" s="9"/>
      <c r="S26" s="9"/>
      <c r="T26" s="1"/>
    </row>
    <row r="27" spans="1:22" x14ac:dyDescent="0.25">
      <c r="C27" s="12">
        <v>3.4000000000000002E-2</v>
      </c>
      <c r="D27" s="10">
        <f>-PV(C27,C17,E4*E5,E5)</f>
        <v>105.01520923458301</v>
      </c>
      <c r="E27" s="10">
        <f>(D27-D26)/(C27-C26)</f>
        <v>-878.74840054820345</v>
      </c>
      <c r="F27" s="16">
        <f>(E28-E27)/(C28-C27)</f>
        <v>8639.7261136315901</v>
      </c>
      <c r="G27" s="10">
        <f>F27/D27</f>
        <v>82.271188874481666</v>
      </c>
      <c r="H27" s="30">
        <f>(1+(-C21*(C27-C32)))*H32</f>
        <v>104.62337280000001</v>
      </c>
      <c r="I27" s="10">
        <f>(1+(-$C$21*(C27-$C$32))+(0.5*$C$22*(C27-$C$32)^2))*$H$32</f>
        <v>105.54812175360001</v>
      </c>
      <c r="J27" s="10"/>
      <c r="K27" s="1"/>
      <c r="L27" s="1" t="s">
        <v>28</v>
      </c>
      <c r="M27" s="1"/>
      <c r="N27" s="1"/>
      <c r="O27" s="1" t="s">
        <v>34</v>
      </c>
      <c r="Q27" s="1"/>
      <c r="R27" s="1"/>
      <c r="S27" s="1"/>
      <c r="T27" s="1"/>
    </row>
    <row r="28" spans="1:22" x14ac:dyDescent="0.25">
      <c r="C28" s="12">
        <v>3.7999999999999999E-2</v>
      </c>
      <c r="D28" s="10">
        <f>-PV(C28,C17,E5*E4,E5)</f>
        <v>101.63845125020831</v>
      </c>
      <c r="E28" s="10">
        <f>(D28-D27)/(C28-C27)</f>
        <v>-844.18949609367712</v>
      </c>
      <c r="F28" s="1"/>
      <c r="G28" s="3"/>
      <c r="H28" s="30">
        <f>(1+(-C21*(C28-C32)))*H32</f>
        <v>101.5375296</v>
      </c>
      <c r="I28" s="10">
        <f t="shared" ref="I28:I38" si="1">(1+(-$C$21*(C28-$C$32))+(0.5*$C$22*(C28-$C$32)^2))*$H$32</f>
        <v>102.0577008864</v>
      </c>
      <c r="J28" s="10"/>
      <c r="K28" s="1"/>
      <c r="L28" s="1" t="s">
        <v>38</v>
      </c>
      <c r="M28" s="1"/>
      <c r="N28" s="1"/>
      <c r="O28" s="1" t="s">
        <v>32</v>
      </c>
      <c r="P28" s="1"/>
      <c r="Q28" s="1"/>
      <c r="R28" s="1"/>
      <c r="S28" s="1"/>
      <c r="T28" s="1"/>
    </row>
    <row r="29" spans="1:22" x14ac:dyDescent="0.25">
      <c r="C29" s="12">
        <v>4.2000000000000003E-2</v>
      </c>
      <c r="D29" s="10">
        <f>-PV(C29,C17,E4*E5,E5)</f>
        <v>98.393851957647428</v>
      </c>
      <c r="E29" s="10"/>
      <c r="F29" s="1"/>
      <c r="G29" s="3"/>
      <c r="H29" s="30">
        <f>(1+(-C21*(C29-C32)))*H32</f>
        <v>98.4516864</v>
      </c>
      <c r="I29" s="10">
        <f t="shared" si="1"/>
        <v>98.682873638400011</v>
      </c>
      <c r="J29" s="10"/>
      <c r="K29" s="1"/>
      <c r="L29" s="1" t="s">
        <v>26</v>
      </c>
      <c r="M29" s="1"/>
      <c r="N29" s="1"/>
      <c r="O29" s="1" t="s">
        <v>37</v>
      </c>
      <c r="P29" s="1"/>
      <c r="Q29" s="1"/>
      <c r="R29" s="1"/>
      <c r="S29" s="1"/>
      <c r="T29" s="1"/>
    </row>
    <row r="30" spans="1:22" x14ac:dyDescent="0.25">
      <c r="C30" s="12">
        <v>4.5999999999999999E-2</v>
      </c>
      <c r="D30" s="10">
        <f>-PV(C30,C17,E4*E5,E5)</f>
        <v>95.275626118261528</v>
      </c>
      <c r="E30" s="10"/>
      <c r="F30" s="1"/>
      <c r="G30" s="3"/>
      <c r="H30" s="30">
        <f>(1+(-C21*(C30-C36)))*H32</f>
        <v>104.62337280000001</v>
      </c>
      <c r="I30" s="10">
        <f t="shared" si="1"/>
        <v>95.423640009600021</v>
      </c>
      <c r="J30" s="10"/>
      <c r="K30" s="1"/>
      <c r="L30" s="1" t="s">
        <v>25</v>
      </c>
      <c r="M30" s="1"/>
      <c r="N30" s="1"/>
      <c r="O30" s="1" t="s">
        <v>39</v>
      </c>
      <c r="P30" s="1"/>
      <c r="Q30" s="1"/>
      <c r="R30" s="1"/>
      <c r="S30" s="1"/>
      <c r="T30" s="1"/>
    </row>
    <row r="31" spans="1:22" x14ac:dyDescent="0.25">
      <c r="C31" s="12">
        <v>4.99E-2</v>
      </c>
      <c r="D31" s="10">
        <f>-PV(C31,C17,E4*E5,E5)</f>
        <v>92.351768673648522</v>
      </c>
      <c r="E31" s="10"/>
      <c r="F31" s="1"/>
      <c r="G31" s="3"/>
      <c r="H31" s="30">
        <f>(1+(-C21*(C31-C36)))*H32</f>
        <v>101.61467568</v>
      </c>
      <c r="I31" s="10">
        <f t="shared" si="1"/>
        <v>92.357182203006005</v>
      </c>
      <c r="J31" s="10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2" x14ac:dyDescent="0.25">
      <c r="C32" s="31">
        <v>0.05</v>
      </c>
      <c r="D32" s="32">
        <f>-PV(C32,C17,E4*E5,E5)</f>
        <v>92.278265070815181</v>
      </c>
      <c r="E32" s="32">
        <f t="shared" ref="E32:E33" si="2">(D32-D31)/(C32-C31)</f>
        <v>-735.03602833339016</v>
      </c>
      <c r="F32" s="33">
        <f>(E33-E32)/(C33-C32)</f>
        <v>7224.8576524342061</v>
      </c>
      <c r="G32" s="32">
        <f>F32/D32</f>
        <v>78.294251055649823</v>
      </c>
      <c r="H32" s="34">
        <v>92.28</v>
      </c>
      <c r="I32" s="32">
        <f t="shared" si="1"/>
        <v>92.28</v>
      </c>
      <c r="J32" s="10"/>
      <c r="K32" s="10"/>
      <c r="L32" s="1"/>
      <c r="M32" s="1"/>
      <c r="N32" s="1"/>
      <c r="O32" s="10"/>
      <c r="P32" s="10"/>
      <c r="Q32" s="10"/>
      <c r="R32" s="10"/>
      <c r="S32" s="10"/>
      <c r="T32" s="10"/>
    </row>
    <row r="33" spans="3:23" x14ac:dyDescent="0.25">
      <c r="C33" s="12">
        <v>5.0099999999999999E-2</v>
      </c>
      <c r="D33" s="10">
        <f>-PV(C33,C17,E4*E5,E5)</f>
        <v>92.204833716558369</v>
      </c>
      <c r="E33" s="10">
        <f t="shared" si="2"/>
        <v>-734.31354256814677</v>
      </c>
      <c r="F33" s="10"/>
      <c r="G33" s="3"/>
      <c r="H33" s="30">
        <f>(1+(-C21*(C33-C32)))*H32</f>
        <v>92.20285392000001</v>
      </c>
      <c r="I33" s="10">
        <f t="shared" si="1"/>
        <v>92.202890043006008</v>
      </c>
      <c r="J33" s="10"/>
      <c r="K33" s="10"/>
      <c r="L33" s="1"/>
      <c r="M33" s="1"/>
      <c r="N33" s="1"/>
      <c r="O33" s="10"/>
      <c r="P33" s="10"/>
      <c r="Q33" s="10"/>
      <c r="R33" s="10"/>
      <c r="S33" s="10"/>
      <c r="T33" s="10"/>
    </row>
    <row r="34" spans="3:23" x14ac:dyDescent="0.25">
      <c r="C34" s="12">
        <v>5.3999999999999999E-2</v>
      </c>
      <c r="D34" s="10">
        <f>-PV(C34,C17,E5*E4,E5)</f>
        <v>89.396522459854253</v>
      </c>
      <c r="E34" s="10"/>
      <c r="F34" s="1"/>
      <c r="G34" s="3"/>
      <c r="H34" s="30">
        <f>(1+(-C21*(C34-C35)))*H32</f>
        <v>95.365843200000015</v>
      </c>
      <c r="I34" s="10">
        <f t="shared" si="1"/>
        <v>89.251953609600008</v>
      </c>
      <c r="J34" s="10"/>
      <c r="K34" s="1"/>
      <c r="L34" s="1"/>
      <c r="M34" s="1"/>
      <c r="N34" s="1"/>
      <c r="O34" s="1"/>
      <c r="Q34" s="1"/>
      <c r="R34" s="1"/>
      <c r="S34" s="4"/>
      <c r="T34" s="4"/>
      <c r="U34" s="1"/>
      <c r="V34" s="1"/>
      <c r="W34" s="1"/>
    </row>
    <row r="35" spans="3:23" x14ac:dyDescent="0.25">
      <c r="C35" s="12">
        <v>5.8000000000000003E-2</v>
      </c>
      <c r="D35" s="10">
        <f>-PV(C35,C17,E4*E5,E5)</f>
        <v>86.625400752888211</v>
      </c>
      <c r="E35" s="10"/>
      <c r="G35" s="3"/>
      <c r="H35" s="30">
        <f>(1+(-C21*(C35-C36)))*H32</f>
        <v>95.365843199999986</v>
      </c>
      <c r="I35" s="10">
        <f t="shared" si="1"/>
        <v>86.339500838399999</v>
      </c>
      <c r="J35" s="10"/>
    </row>
    <row r="36" spans="3:23" x14ac:dyDescent="0.25">
      <c r="C36" s="12">
        <v>6.2E-2</v>
      </c>
      <c r="D36" s="10">
        <f>-PV(C36,C17,E4*E5,E5)</f>
        <v>83.960138499945216</v>
      </c>
      <c r="E36" s="10">
        <f t="shared" ref="E36:E37" si="3">(D36-D35)/(C36-C35)</f>
        <v>-666.31556323574921</v>
      </c>
      <c r="F36" s="16">
        <f>(E37-E36)/(C37-C36)</f>
        <v>6332.6278101787866</v>
      </c>
      <c r="G36" s="10">
        <f>F36/D36</f>
        <v>75.424218245934867</v>
      </c>
      <c r="H36" s="30">
        <f>(1+(-C21*(C36-C32)))*H32</f>
        <v>83.022470400000003</v>
      </c>
      <c r="I36" s="10">
        <f t="shared" si="1"/>
        <v>83.542641686400003</v>
      </c>
      <c r="J36" s="10"/>
      <c r="L36" s="11"/>
      <c r="M36" s="11"/>
      <c r="N36" s="11"/>
      <c r="O36" s="11"/>
    </row>
    <row r="37" spans="3:23" x14ac:dyDescent="0.25">
      <c r="C37" s="12">
        <v>6.6000000000000003E-2</v>
      </c>
      <c r="D37" s="10">
        <f>-PV(C37,C17,E4*E5,E5)</f>
        <v>81.396198291965078</v>
      </c>
      <c r="E37" s="10">
        <f t="shared" si="3"/>
        <v>-640.98505199503404</v>
      </c>
      <c r="G37" s="3"/>
      <c r="H37" s="10">
        <f>(1+(-C21*(C37-C32)))*H32</f>
        <v>79.936627200000004</v>
      </c>
      <c r="I37" s="10">
        <f t="shared" si="1"/>
        <v>80.861376153600006</v>
      </c>
      <c r="J37" s="10"/>
      <c r="L37" s="3"/>
      <c r="M37" s="3"/>
      <c r="N37" s="3"/>
      <c r="O37" s="3"/>
      <c r="P37" s="3"/>
      <c r="Q37" s="3"/>
      <c r="R37" s="3"/>
      <c r="S37" s="3"/>
      <c r="T37" s="3"/>
    </row>
    <row r="38" spans="3:23" x14ac:dyDescent="0.25">
      <c r="C38" s="3">
        <v>7.0000000000000007E-2</v>
      </c>
      <c r="D38" s="10">
        <f>-PV(C38,C17,E4*E5,E5)</f>
        <v>78.929255377202196</v>
      </c>
      <c r="E38" s="3"/>
      <c r="F38" s="3"/>
      <c r="G38" s="3"/>
      <c r="H38" s="10">
        <f>(1+(-C21*(C38-C32)))*H32</f>
        <v>76.850784000000004</v>
      </c>
      <c r="I38" s="10">
        <f t="shared" si="1"/>
        <v>78.295704240000006</v>
      </c>
      <c r="J38" s="10"/>
      <c r="K38" s="3"/>
    </row>
    <row r="39" spans="3:23" x14ac:dyDescent="0.25">
      <c r="D39" s="3"/>
      <c r="E39" s="3"/>
      <c r="F39" s="3"/>
      <c r="G39" s="3"/>
      <c r="H39" s="10"/>
      <c r="I39" s="10"/>
      <c r="J39" s="10"/>
      <c r="K39" s="3"/>
      <c r="O39" s="3"/>
      <c r="P39" s="3"/>
      <c r="Q39" s="3"/>
      <c r="R39" s="3"/>
      <c r="S39" s="3"/>
    </row>
    <row r="40" spans="3:23" x14ac:dyDescent="0.25">
      <c r="D40" s="3"/>
      <c r="E40" s="3"/>
      <c r="F40" s="3"/>
      <c r="G40" s="3"/>
      <c r="H40" s="3"/>
      <c r="I40" s="3"/>
      <c r="J40" s="3"/>
      <c r="K40" s="3"/>
      <c r="O40" s="3"/>
      <c r="P40" s="3"/>
      <c r="Q40" s="3"/>
      <c r="R40" s="3"/>
      <c r="S40" s="3"/>
      <c r="T40" s="3"/>
    </row>
    <row r="41" spans="3:23" x14ac:dyDescent="0.25">
      <c r="G41" s="3"/>
      <c r="O41" t="s">
        <v>33</v>
      </c>
    </row>
    <row r="42" spans="3:23" x14ac:dyDescent="0.25">
      <c r="D42" s="1"/>
      <c r="E42" s="1"/>
      <c r="F42" s="1"/>
      <c r="G42" s="1"/>
      <c r="H42" s="1"/>
      <c r="I42" s="1"/>
      <c r="J42" s="1"/>
      <c r="K42" s="1"/>
    </row>
    <row r="43" spans="3:23" x14ac:dyDescent="0.25">
      <c r="D43" s="1"/>
      <c r="E43" s="1"/>
      <c r="F43" s="1"/>
      <c r="G43" s="1"/>
      <c r="H43" s="1"/>
      <c r="I43" s="1"/>
      <c r="J43" s="1"/>
      <c r="K43" s="1"/>
    </row>
    <row r="44" spans="3:23" x14ac:dyDescent="0.25">
      <c r="D44" s="1"/>
      <c r="E44" s="1"/>
      <c r="F44" s="1"/>
      <c r="G44" s="1"/>
      <c r="H44" s="1"/>
      <c r="I44" s="1"/>
      <c r="J44" s="1"/>
      <c r="K44" s="1"/>
    </row>
    <row r="45" spans="3:23" x14ac:dyDescent="0.25">
      <c r="D45" s="1"/>
      <c r="E45" s="1"/>
      <c r="F45" s="1"/>
      <c r="G45" s="1"/>
      <c r="H45" s="1"/>
      <c r="I45" s="1"/>
      <c r="J45" s="1"/>
      <c r="K45" s="1"/>
    </row>
    <row r="46" spans="3:23" x14ac:dyDescent="0.25">
      <c r="D46" s="1"/>
      <c r="E46" s="1"/>
      <c r="F46" s="1"/>
      <c r="G46" s="1"/>
      <c r="H46" s="1"/>
      <c r="I46" s="1"/>
      <c r="J46" s="1"/>
      <c r="K46" s="1"/>
    </row>
    <row r="47" spans="3:23" x14ac:dyDescent="0.25">
      <c r="D47" s="1"/>
      <c r="E47" s="1"/>
      <c r="F47" s="1"/>
      <c r="G47" s="1"/>
      <c r="H47" s="1"/>
      <c r="I47" s="1"/>
      <c r="J47" s="1"/>
      <c r="K47" s="1"/>
    </row>
    <row r="48" spans="3:23" x14ac:dyDescent="0.25">
      <c r="D48" s="1"/>
      <c r="E48" s="1"/>
      <c r="F48" s="1"/>
      <c r="G48" s="1"/>
      <c r="H48" s="1"/>
      <c r="I48" s="1"/>
      <c r="J48" s="1"/>
      <c r="K48" s="1"/>
    </row>
    <row r="49" spans="4:19" x14ac:dyDescent="0.25">
      <c r="D49" s="9"/>
      <c r="E49" s="9"/>
      <c r="F49" s="9"/>
      <c r="G49" s="9"/>
      <c r="H49" s="9"/>
      <c r="I49" s="9"/>
      <c r="J49" s="9"/>
      <c r="K49" s="9"/>
    </row>
    <row r="50" spans="4:19" x14ac:dyDescent="0.25">
      <c r="D50" s="1"/>
      <c r="E50" s="1"/>
      <c r="F50" s="1"/>
      <c r="G50" s="1"/>
      <c r="H50" s="1"/>
      <c r="I50" s="1"/>
      <c r="J50" s="1"/>
      <c r="K50" s="1"/>
    </row>
    <row r="51" spans="4:19" x14ac:dyDescent="0.25">
      <c r="D51" s="1"/>
      <c r="E51" s="1"/>
      <c r="F51" s="1"/>
      <c r="G51" s="1"/>
      <c r="H51" s="1"/>
      <c r="I51" s="1"/>
      <c r="J51" s="1"/>
      <c r="K51" s="1"/>
    </row>
    <row r="52" spans="4:19" x14ac:dyDescent="0.25">
      <c r="D52" s="1"/>
      <c r="E52" s="1"/>
      <c r="F52" s="1"/>
      <c r="G52" s="1"/>
      <c r="H52" s="1"/>
      <c r="I52" s="1"/>
      <c r="J52" s="1"/>
      <c r="K52" s="1"/>
    </row>
    <row r="53" spans="4:19" x14ac:dyDescent="0.25">
      <c r="D53" s="1"/>
      <c r="E53" s="1"/>
      <c r="F53" s="1"/>
      <c r="G53" s="1"/>
      <c r="H53" s="1"/>
      <c r="I53" s="1"/>
      <c r="J53" s="1"/>
      <c r="K53" s="1"/>
    </row>
    <row r="54" spans="4:19" x14ac:dyDescent="0.25">
      <c r="D54" s="1"/>
      <c r="E54" s="1"/>
      <c r="F54" s="1"/>
      <c r="G54" s="1"/>
      <c r="H54" s="1"/>
      <c r="I54" s="1"/>
      <c r="J54" s="1"/>
      <c r="K54" s="1"/>
    </row>
    <row r="55" spans="4:19" x14ac:dyDescent="0.25">
      <c r="D55" s="1"/>
      <c r="E55" s="1"/>
      <c r="F55" s="1"/>
      <c r="G55" s="1"/>
      <c r="H55" s="1"/>
      <c r="I55" s="1"/>
      <c r="J55" s="1"/>
      <c r="K55" s="1"/>
    </row>
    <row r="56" spans="4:19" x14ac:dyDescent="0.25">
      <c r="D56" s="1"/>
      <c r="E56" s="1"/>
      <c r="F56" s="1"/>
      <c r="G56" s="1"/>
      <c r="H56" s="1"/>
      <c r="I56" s="1"/>
      <c r="J56" s="1"/>
      <c r="K56" s="1"/>
    </row>
    <row r="57" spans="4:19" x14ac:dyDescent="0.25">
      <c r="D57" s="9"/>
      <c r="E57" s="9"/>
      <c r="F57" s="9"/>
      <c r="G57" s="9"/>
      <c r="H57" s="9"/>
      <c r="I57" s="9"/>
      <c r="J57" s="9"/>
      <c r="K57" s="9"/>
    </row>
    <row r="58" spans="4:19" x14ac:dyDescent="0.25">
      <c r="D58" s="1"/>
      <c r="E58" s="1"/>
    </row>
    <row r="59" spans="4:19" x14ac:dyDescent="0.25">
      <c r="D59" s="1"/>
      <c r="E59" s="1"/>
      <c r="F59" s="1"/>
      <c r="G59" s="1"/>
      <c r="H59" s="1"/>
      <c r="I59" s="1"/>
      <c r="J59" s="1"/>
      <c r="K59" s="1"/>
    </row>
    <row r="60" spans="4:19" x14ac:dyDescent="0.25">
      <c r="D60" s="1"/>
      <c r="E60" s="1"/>
      <c r="K60" s="1"/>
    </row>
    <row r="61" spans="4:19" x14ac:dyDescent="0.25">
      <c r="D61" s="1"/>
      <c r="E61" s="1"/>
      <c r="O61" s="1"/>
      <c r="P61" s="1"/>
      <c r="Q61" s="1"/>
      <c r="R61" s="1"/>
      <c r="S61" s="1"/>
    </row>
    <row r="62" spans="4:19" x14ac:dyDescent="0.25">
      <c r="D62" s="1"/>
      <c r="E62" s="1"/>
      <c r="O62" s="1"/>
      <c r="P62" s="1"/>
      <c r="Q62" s="1"/>
      <c r="R62" s="1"/>
      <c r="S62" s="1"/>
    </row>
    <row r="63" spans="4:19" x14ac:dyDescent="0.25">
      <c r="D63" s="1"/>
      <c r="E63" s="1"/>
    </row>
    <row r="64" spans="4:19" x14ac:dyDescent="0.25">
      <c r="D64" s="1"/>
      <c r="E64" s="1"/>
    </row>
    <row r="65" spans="1:23" x14ac:dyDescent="0.25">
      <c r="D65" s="1"/>
      <c r="E65" s="1"/>
    </row>
    <row r="66" spans="1:23" x14ac:dyDescent="0.25">
      <c r="D66" s="1"/>
      <c r="E66" s="1"/>
    </row>
    <row r="67" spans="1:23" x14ac:dyDescent="0.25">
      <c r="D67" s="1"/>
      <c r="E67" s="1"/>
    </row>
    <row r="68" spans="1:23" x14ac:dyDescent="0.25">
      <c r="D68" s="1"/>
      <c r="E68" s="1"/>
    </row>
    <row r="69" spans="1:23" x14ac:dyDescent="0.25">
      <c r="D69" s="9"/>
      <c r="E69" s="9"/>
      <c r="F69" s="5"/>
      <c r="G69" s="5"/>
      <c r="H69" s="5"/>
      <c r="I69" s="5"/>
      <c r="J69" s="5"/>
      <c r="K69" s="5"/>
      <c r="N69" s="1"/>
      <c r="O69" s="1"/>
      <c r="P69" s="1"/>
      <c r="Q69" s="1"/>
      <c r="R69" s="1"/>
      <c r="S69" s="1"/>
      <c r="T69" s="1"/>
    </row>
    <row r="70" spans="1:23" x14ac:dyDescent="0.25">
      <c r="R70" s="1"/>
    </row>
    <row r="71" spans="1:23" x14ac:dyDescent="0.25">
      <c r="R71" s="12"/>
      <c r="S71" s="12"/>
    </row>
    <row r="73" spans="1:23" x14ac:dyDescent="0.25">
      <c r="Q73" s="1"/>
      <c r="R73" s="1"/>
      <c r="S73" s="1"/>
    </row>
    <row r="80" spans="1:23" x14ac:dyDescent="0.25">
      <c r="A80" s="6"/>
      <c r="B80" s="6"/>
      <c r="C80" s="6"/>
      <c r="D80" s="6"/>
      <c r="E80" s="6"/>
      <c r="F80" s="6"/>
      <c r="G80" s="6"/>
      <c r="H80" s="1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2" spans="1:22" x14ac:dyDescent="0.25">
      <c r="A82" s="5"/>
      <c r="D82" s="1"/>
    </row>
    <row r="83" spans="1:22" x14ac:dyDescent="0.25">
      <c r="A83" s="5"/>
    </row>
    <row r="84" spans="1:22" x14ac:dyDescent="0.25">
      <c r="A84" s="5"/>
    </row>
    <row r="85" spans="1:22" x14ac:dyDescent="0.25">
      <c r="A85" s="5"/>
    </row>
    <row r="86" spans="1:22" x14ac:dyDescent="0.25">
      <c r="A86" s="5"/>
      <c r="N86" s="1"/>
      <c r="V86" s="1"/>
    </row>
    <row r="87" spans="1:22" x14ac:dyDescent="0.25">
      <c r="E87" s="2"/>
      <c r="F87" s="2"/>
      <c r="G87" s="2"/>
      <c r="H87" s="2"/>
      <c r="I87" s="2"/>
      <c r="J87" s="2"/>
      <c r="K87" s="2"/>
      <c r="O87" s="1"/>
      <c r="Q87" s="2"/>
      <c r="R87" s="2"/>
      <c r="S87" s="2"/>
      <c r="V87" s="1"/>
    </row>
    <row r="88" spans="1:22" x14ac:dyDescent="0.25">
      <c r="Q88" s="7"/>
      <c r="R88" s="8"/>
    </row>
    <row r="89" spans="1:22" x14ac:dyDescent="0.25">
      <c r="A89" s="5"/>
      <c r="Q89" s="8"/>
      <c r="R89" s="27"/>
    </row>
    <row r="90" spans="1:22" x14ac:dyDescent="0.25">
      <c r="A90" s="5"/>
      <c r="F90" s="1"/>
      <c r="G90" s="1"/>
      <c r="H90" s="1"/>
      <c r="I90" s="1"/>
      <c r="J90" s="1"/>
      <c r="K90" s="1"/>
      <c r="Q90" s="8"/>
      <c r="R90" s="27"/>
    </row>
    <row r="91" spans="1:22" x14ac:dyDescent="0.25">
      <c r="G91" s="3"/>
      <c r="H91" s="3"/>
      <c r="I91" s="3"/>
      <c r="J91" s="3"/>
      <c r="K91" s="3"/>
      <c r="Q91" s="8"/>
      <c r="R91" s="27"/>
    </row>
    <row r="92" spans="1:22" x14ac:dyDescent="0.25">
      <c r="Q92" s="8"/>
      <c r="R92" s="27"/>
    </row>
    <row r="93" spans="1:22" x14ac:dyDescent="0.25">
      <c r="G93" s="1"/>
      <c r="H93" s="1"/>
      <c r="I93" s="1"/>
      <c r="J93" s="1"/>
      <c r="K93" s="1"/>
      <c r="Q93" s="28"/>
      <c r="R93" s="27"/>
    </row>
    <row r="94" spans="1:22" x14ac:dyDescent="0.25">
      <c r="G94" s="3"/>
      <c r="H94" s="3"/>
      <c r="I94" s="3"/>
      <c r="J94" s="3"/>
      <c r="K94" s="3"/>
      <c r="Q94" s="8"/>
      <c r="R94" s="27"/>
    </row>
    <row r="95" spans="1:22" x14ac:dyDescent="0.25">
      <c r="Q95" s="8"/>
      <c r="R95" s="8"/>
    </row>
    <row r="96" spans="1:22" x14ac:dyDescent="0.25">
      <c r="G96" s="1"/>
      <c r="H96" s="1"/>
      <c r="I96" s="1"/>
      <c r="J96" s="1"/>
      <c r="K96" s="1"/>
      <c r="L96" s="1"/>
      <c r="Q96" s="8"/>
      <c r="R96" s="8"/>
    </row>
    <row r="97" spans="1:18" x14ac:dyDescent="0.25">
      <c r="G97" s="1"/>
      <c r="H97" s="1"/>
      <c r="I97" s="1"/>
      <c r="J97" s="1"/>
      <c r="K97" s="1"/>
      <c r="Q97" s="8"/>
      <c r="R97" s="8"/>
    </row>
    <row r="98" spans="1:18" x14ac:dyDescent="0.25">
      <c r="G98" s="3"/>
      <c r="H98" s="3"/>
      <c r="I98" s="3"/>
      <c r="J98" s="3"/>
      <c r="K98" s="3"/>
      <c r="Q98" s="8"/>
      <c r="R98" s="8"/>
    </row>
    <row r="99" spans="1:18" x14ac:dyDescent="0.25">
      <c r="Q99" s="8"/>
      <c r="R99" s="8"/>
    </row>
    <row r="100" spans="1:18" x14ac:dyDescent="0.25">
      <c r="Q100" s="8"/>
      <c r="R100" s="8"/>
    </row>
    <row r="101" spans="1:18" x14ac:dyDescent="0.25">
      <c r="G101" s="3"/>
      <c r="H101" s="3"/>
      <c r="I101" s="3"/>
      <c r="J101" s="3"/>
      <c r="K101" s="3"/>
      <c r="Q101" s="7"/>
      <c r="R101" s="8"/>
    </row>
    <row r="103" spans="1:18" x14ac:dyDescent="0.25">
      <c r="A103" s="5"/>
      <c r="G103" s="1"/>
      <c r="H103" s="1"/>
      <c r="I103" s="1"/>
      <c r="J103" s="1"/>
      <c r="K103" s="1"/>
    </row>
    <row r="104" spans="1:18" x14ac:dyDescent="0.25">
      <c r="G104" s="3"/>
      <c r="H104" s="3"/>
      <c r="I104" s="3"/>
      <c r="J104" s="3"/>
      <c r="K104" s="3"/>
    </row>
    <row r="106" spans="1:18" x14ac:dyDescent="0.25">
      <c r="G106" s="1"/>
      <c r="H106" s="1"/>
      <c r="I106" s="1"/>
      <c r="J106" s="1"/>
      <c r="K106" s="1"/>
    </row>
    <row r="107" spans="1:18" x14ac:dyDescent="0.25">
      <c r="G107" s="3"/>
      <c r="H107" s="3"/>
      <c r="I107" s="3"/>
      <c r="J107" s="3"/>
      <c r="K107" s="3"/>
      <c r="Q107" s="7"/>
      <c r="R107" s="8"/>
    </row>
    <row r="108" spans="1:18" x14ac:dyDescent="0.25">
      <c r="Q108" s="8"/>
      <c r="R108" s="27"/>
    </row>
    <row r="109" spans="1:18" x14ac:dyDescent="0.25">
      <c r="Q109" s="8"/>
      <c r="R109" s="27"/>
    </row>
    <row r="110" spans="1:18" x14ac:dyDescent="0.25">
      <c r="G110" s="3"/>
      <c r="H110" s="3"/>
      <c r="I110" s="3"/>
      <c r="J110" s="3"/>
      <c r="K110" s="3"/>
      <c r="Q110" s="8"/>
      <c r="R110" s="27"/>
    </row>
    <row r="111" spans="1:18" x14ac:dyDescent="0.25">
      <c r="Q111" s="8"/>
      <c r="R111" s="27"/>
    </row>
    <row r="112" spans="1:18" x14ac:dyDescent="0.25">
      <c r="A112" s="5"/>
      <c r="E112" s="5"/>
      <c r="Q112" s="28"/>
      <c r="R112" s="27"/>
    </row>
    <row r="113" spans="1:18" x14ac:dyDescent="0.25">
      <c r="E113" s="5"/>
      <c r="G113" s="1"/>
      <c r="H113" s="1"/>
      <c r="I113" s="1"/>
      <c r="J113" s="1"/>
      <c r="K113" s="1"/>
      <c r="Q113" s="8"/>
      <c r="R113" s="27"/>
    </row>
    <row r="114" spans="1:18" x14ac:dyDescent="0.25">
      <c r="E114" s="5"/>
      <c r="G114" s="1"/>
      <c r="H114" s="1"/>
      <c r="I114" s="1"/>
      <c r="J114" s="1"/>
      <c r="K114" s="1"/>
      <c r="Q114" s="8"/>
      <c r="R114" s="27"/>
    </row>
    <row r="115" spans="1:18" x14ac:dyDescent="0.25">
      <c r="E115" s="5"/>
      <c r="Q115" s="8"/>
      <c r="R115" s="27"/>
    </row>
    <row r="116" spans="1:18" x14ac:dyDescent="0.25">
      <c r="G116" s="9"/>
      <c r="H116" s="9"/>
      <c r="I116" s="9"/>
      <c r="J116" s="9"/>
      <c r="K116" s="9"/>
      <c r="Q116" s="8"/>
      <c r="R116" s="27"/>
    </row>
    <row r="118" spans="1:18" x14ac:dyDescent="0.25">
      <c r="A118" s="5"/>
    </row>
    <row r="119" spans="1:18" x14ac:dyDescent="0.25">
      <c r="L119" s="1"/>
      <c r="M119" s="1"/>
      <c r="N119" s="1"/>
      <c r="O119" s="1"/>
    </row>
    <row r="120" spans="1:18" x14ac:dyDescent="0.25">
      <c r="L120" s="1"/>
      <c r="M120" s="1"/>
      <c r="N120" s="1"/>
      <c r="O120" s="1"/>
    </row>
    <row r="121" spans="1:18" x14ac:dyDescent="0.25">
      <c r="L121" s="10"/>
      <c r="M121" s="10"/>
      <c r="N121" s="10"/>
      <c r="O121" s="10"/>
    </row>
    <row r="122" spans="1:18" x14ac:dyDescent="0.25">
      <c r="L122" s="1"/>
      <c r="M122" s="1"/>
      <c r="N122" s="1"/>
      <c r="O122" s="1"/>
    </row>
    <row r="123" spans="1:18" x14ac:dyDescent="0.25">
      <c r="L123" s="1"/>
      <c r="M123" s="1"/>
      <c r="N123" s="1"/>
      <c r="O123" s="1"/>
    </row>
    <row r="124" spans="1:18" x14ac:dyDescent="0.25">
      <c r="L124" s="1"/>
      <c r="M124" s="1"/>
      <c r="N124" s="1"/>
      <c r="O124" s="1"/>
    </row>
    <row r="125" spans="1:18" x14ac:dyDescent="0.25">
      <c r="L125" s="1"/>
      <c r="M125" s="1"/>
      <c r="N125" s="1"/>
      <c r="O125" s="1"/>
    </row>
    <row r="126" spans="1:18" x14ac:dyDescent="0.25">
      <c r="L126" s="1"/>
      <c r="M126" s="1"/>
      <c r="N126" s="1"/>
      <c r="O126" s="1"/>
    </row>
    <row r="127" spans="1:18" x14ac:dyDescent="0.25">
      <c r="O127" s="1"/>
    </row>
    <row r="128" spans="1:18" x14ac:dyDescent="0.25">
      <c r="O128" s="1"/>
    </row>
    <row r="130" spans="1:23" x14ac:dyDescent="0.25">
      <c r="O130" s="16"/>
    </row>
    <row r="131" spans="1:23" x14ac:dyDescent="0.25">
      <c r="O131" s="16"/>
      <c r="P131" s="15"/>
    </row>
    <row r="132" spans="1:23" x14ac:dyDescent="0.25">
      <c r="O132" s="10"/>
    </row>
    <row r="134" spans="1:23" x14ac:dyDescent="0.25">
      <c r="A134" s="6"/>
      <c r="B134" s="6"/>
      <c r="C134" s="6"/>
      <c r="D134" s="6"/>
      <c r="E134" s="6"/>
      <c r="F134" s="6"/>
      <c r="G134" s="6"/>
      <c r="H134" s="13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25">
      <c r="A135" s="5"/>
      <c r="L135" s="1"/>
      <c r="M135" s="1"/>
      <c r="N135" s="1"/>
      <c r="O135" s="1"/>
    </row>
    <row r="136" spans="1:23" x14ac:dyDescent="0.25">
      <c r="A136" s="5"/>
      <c r="B136" s="14"/>
    </row>
    <row r="137" spans="1:23" x14ac:dyDescent="0.25">
      <c r="C137" s="19"/>
      <c r="D137" s="20"/>
      <c r="E137" s="21"/>
      <c r="F137" s="22"/>
      <c r="G137" s="21"/>
      <c r="H137" s="20"/>
    </row>
    <row r="138" spans="1:23" x14ac:dyDescent="0.25">
      <c r="C138" s="21"/>
      <c r="D138" s="16"/>
      <c r="E138" s="16"/>
      <c r="F138" s="16"/>
      <c r="G138" s="16"/>
      <c r="H138" s="17"/>
    </row>
    <row r="139" spans="1:23" x14ac:dyDescent="0.25">
      <c r="C139" s="21"/>
      <c r="D139" s="16"/>
      <c r="E139" s="16"/>
      <c r="F139" s="16"/>
      <c r="G139" s="16"/>
      <c r="H139" s="16"/>
    </row>
    <row r="140" spans="1:23" x14ac:dyDescent="0.25">
      <c r="C140" s="18"/>
      <c r="D140" s="16"/>
      <c r="E140" s="16"/>
      <c r="F140" s="17"/>
      <c r="G140" s="16"/>
      <c r="H140" s="16"/>
    </row>
    <row r="141" spans="1:23" x14ac:dyDescent="0.25">
      <c r="C141" s="21"/>
      <c r="D141" s="16"/>
      <c r="E141" s="16"/>
      <c r="F141" s="16"/>
      <c r="G141" s="16"/>
      <c r="H141" s="16"/>
    </row>
    <row r="142" spans="1:23" x14ac:dyDescent="0.25">
      <c r="C142" s="21"/>
      <c r="D142" s="17"/>
      <c r="E142" s="16"/>
      <c r="F142" s="16"/>
      <c r="G142" s="16"/>
      <c r="H142" s="16"/>
    </row>
    <row r="144" spans="1:23" x14ac:dyDescent="0.25">
      <c r="A144" s="5"/>
      <c r="F144" s="3"/>
      <c r="G144" s="3"/>
      <c r="H144" s="3"/>
    </row>
    <row r="145" spans="1:23" x14ac:dyDescent="0.25">
      <c r="E145" s="23"/>
      <c r="F145" s="23"/>
      <c r="G145" s="23"/>
      <c r="H145" s="23"/>
      <c r="L145" s="23"/>
    </row>
    <row r="146" spans="1:23" x14ac:dyDescent="0.25">
      <c r="E146" s="23"/>
      <c r="F146" s="15"/>
      <c r="G146" s="15"/>
      <c r="H146" s="15"/>
      <c r="I146" s="3"/>
    </row>
    <row r="147" spans="1:23" x14ac:dyDescent="0.25">
      <c r="E147" s="23"/>
      <c r="F147" s="15"/>
      <c r="G147" s="15"/>
      <c r="H147" s="15"/>
    </row>
    <row r="148" spans="1:23" x14ac:dyDescent="0.25">
      <c r="E148" s="23"/>
      <c r="F148" s="15"/>
      <c r="G148" s="15"/>
      <c r="H148" s="15"/>
      <c r="I148" s="3"/>
    </row>
    <row r="149" spans="1:23" x14ac:dyDescent="0.25">
      <c r="D149" s="15"/>
      <c r="E149" s="23"/>
      <c r="F149" s="15"/>
      <c r="G149" s="15"/>
      <c r="H149" s="15"/>
      <c r="I149" s="3"/>
    </row>
    <row r="150" spans="1:23" x14ac:dyDescent="0.25">
      <c r="D150" s="15"/>
      <c r="E150" s="23"/>
      <c r="F150" s="24"/>
      <c r="G150" s="24"/>
      <c r="H150" s="24"/>
      <c r="I150" s="3"/>
      <c r="L150" s="3"/>
    </row>
    <row r="151" spans="1:23" x14ac:dyDescent="0.25">
      <c r="D151" s="15"/>
      <c r="E151" s="24"/>
      <c r="F151" s="24"/>
      <c r="G151" s="24"/>
      <c r="H151" s="24"/>
      <c r="I151" s="3"/>
      <c r="L151" s="3"/>
    </row>
    <row r="152" spans="1:23" x14ac:dyDescent="0.25">
      <c r="D152" s="15"/>
      <c r="E152" s="25"/>
      <c r="F152" s="25"/>
      <c r="G152" s="25"/>
      <c r="H152" s="25"/>
      <c r="I152" s="3"/>
      <c r="L152" s="3"/>
    </row>
    <row r="153" spans="1:23" x14ac:dyDescent="0.25">
      <c r="D153" s="15"/>
      <c r="E153" s="25"/>
      <c r="F153" s="25"/>
      <c r="G153" s="25"/>
      <c r="H153" s="25"/>
      <c r="I153" s="1"/>
      <c r="L153" s="3"/>
    </row>
    <row r="154" spans="1:23" x14ac:dyDescent="0.25">
      <c r="E154" s="25"/>
      <c r="F154" s="26"/>
      <c r="G154" s="23"/>
      <c r="H154" s="23"/>
    </row>
    <row r="155" spans="1:23" x14ac:dyDescent="0.25">
      <c r="B155" s="5"/>
    </row>
    <row r="160" spans="1:23" x14ac:dyDescent="0.25">
      <c r="A160" s="6"/>
      <c r="B160" s="6"/>
      <c r="C160" s="6"/>
      <c r="D160" s="6"/>
      <c r="E160" s="6"/>
      <c r="F160" s="6"/>
      <c r="G160" s="6"/>
      <c r="H160" s="13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3" spans="1:13" x14ac:dyDescent="0.25">
      <c r="A163" s="5"/>
      <c r="D163" s="10"/>
      <c r="E163" s="16"/>
      <c r="F163" s="1"/>
      <c r="G163" s="1"/>
      <c r="H163" s="1"/>
      <c r="I163" s="1"/>
      <c r="J163" s="1"/>
      <c r="K163" s="1"/>
      <c r="L163" s="16"/>
      <c r="M163" s="16"/>
    </row>
    <row r="164" spans="1:13" x14ac:dyDescent="0.25">
      <c r="D164" s="10"/>
      <c r="E164" s="16"/>
      <c r="F164" s="1"/>
      <c r="G164" s="1"/>
      <c r="H164" s="1"/>
      <c r="I164" s="1"/>
      <c r="J164" s="1"/>
      <c r="K164" s="1"/>
      <c r="L164" s="16"/>
      <c r="M164" s="16"/>
    </row>
    <row r="165" spans="1:13" x14ac:dyDescent="0.25">
      <c r="D165" s="10"/>
      <c r="E165" s="16"/>
      <c r="F165" s="1"/>
      <c r="G165" s="1"/>
      <c r="H165" s="1"/>
      <c r="I165" s="1"/>
      <c r="J165" s="1"/>
      <c r="K165" s="1"/>
      <c r="L165" s="16"/>
      <c r="M165" s="16"/>
    </row>
    <row r="166" spans="1:13" x14ac:dyDescent="0.25">
      <c r="D166" s="10"/>
      <c r="E166" s="16"/>
      <c r="F166" s="1"/>
      <c r="G166" s="1"/>
      <c r="H166" s="1"/>
      <c r="I166" s="1"/>
      <c r="J166" s="1"/>
      <c r="K166" s="1"/>
      <c r="L166" s="16"/>
      <c r="M166" s="16"/>
    </row>
    <row r="167" spans="1:13" x14ac:dyDescent="0.25">
      <c r="D167" s="10"/>
      <c r="E167" s="16"/>
      <c r="F167" s="1"/>
      <c r="G167" s="1"/>
      <c r="H167" s="1"/>
      <c r="I167" s="1"/>
      <c r="J167" s="1"/>
      <c r="K167" s="1"/>
      <c r="L167" s="16"/>
      <c r="M167" s="16"/>
    </row>
    <row r="168" spans="1:13" x14ac:dyDescent="0.25">
      <c r="D168" s="10"/>
      <c r="E168" s="16"/>
      <c r="F168" s="1"/>
      <c r="G168" s="1"/>
      <c r="H168" s="1"/>
      <c r="I168" s="1"/>
      <c r="J168" s="1"/>
      <c r="K168" s="1"/>
      <c r="L168" s="16"/>
      <c r="M168" s="16"/>
    </row>
    <row r="171" spans="1:13" x14ac:dyDescent="0.25">
      <c r="A171" s="5"/>
    </row>
    <row r="172" spans="1:13" x14ac:dyDescent="0.25">
      <c r="I172" s="1"/>
      <c r="J172" s="1"/>
      <c r="K172" s="1"/>
      <c r="L172" s="1"/>
    </row>
    <row r="173" spans="1:13" x14ac:dyDescent="0.25">
      <c r="I173" s="1"/>
      <c r="J173" s="1"/>
      <c r="K173" s="1"/>
      <c r="L173" s="1"/>
    </row>
    <row r="174" spans="1:13" x14ac:dyDescent="0.25">
      <c r="I174" s="1"/>
      <c r="J174" s="1"/>
      <c r="K174" s="1"/>
      <c r="L174" s="1"/>
    </row>
    <row r="175" spans="1:13" x14ac:dyDescent="0.25">
      <c r="I175" s="1"/>
      <c r="J175" s="1"/>
      <c r="K175" s="1"/>
      <c r="L175" s="1"/>
    </row>
    <row r="176" spans="1:13" x14ac:dyDescent="0.25">
      <c r="H176" s="1"/>
      <c r="I176" s="1"/>
      <c r="J176" s="1"/>
      <c r="K176" s="1"/>
    </row>
    <row r="177" spans="1:23" x14ac:dyDescent="0.25">
      <c r="H177" s="1"/>
      <c r="I177" s="1"/>
      <c r="J177" s="1"/>
      <c r="K177" s="1"/>
    </row>
    <row r="189" spans="1:23" x14ac:dyDescent="0.25">
      <c r="A189" s="6"/>
      <c r="B189" s="6"/>
      <c r="C189" s="6"/>
      <c r="D189" s="6"/>
      <c r="E189" s="6"/>
      <c r="F189" s="6"/>
      <c r="G189" s="6"/>
      <c r="H189" s="13" t="s">
        <v>2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1" spans="1:23" x14ac:dyDescent="0.25">
      <c r="A191" s="6"/>
      <c r="B191" s="6"/>
      <c r="C191" s="6"/>
      <c r="D191" s="6"/>
      <c r="E191" s="6"/>
      <c r="F191" s="6"/>
      <c r="G191" s="6"/>
      <c r="H191" s="13" t="s">
        <v>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4" spans="1:23" x14ac:dyDescent="0.25">
      <c r="A194" s="6"/>
      <c r="B194" s="6"/>
      <c r="C194" s="6"/>
      <c r="D194" s="6"/>
      <c r="E194" s="6"/>
      <c r="F194" s="6"/>
      <c r="G194" s="6"/>
      <c r="H194" s="13" t="s">
        <v>1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2025-12-31T20:22:19Z</dcterms:created>
  <dcterms:modified xsi:type="dcterms:W3CDTF">2026-01-04T20:52:17Z</dcterms:modified>
</cp:coreProperties>
</file>