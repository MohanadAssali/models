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50AF17F-E79E-4DEA-8E65-6FD4F13C1539}" xr6:coauthVersionLast="47" xr6:coauthVersionMax="47" xr10:uidLastSave="{00000000-0000-0000-0000-000000000000}"/>
  <bookViews>
    <workbookView xWindow="-120" yWindow="-120" windowWidth="29040" windowHeight="15720" xr2:uid="{8F5191C8-47CB-4EE2-A5A1-3D33F0C78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E21" i="1"/>
  <c r="E36" i="1" s="1"/>
  <c r="F21" i="1"/>
  <c r="G21" i="1"/>
  <c r="H21" i="1"/>
  <c r="I21" i="1"/>
  <c r="J21" i="1"/>
  <c r="K21" i="1"/>
  <c r="P21" i="1"/>
  <c r="Q21" i="1"/>
  <c r="R21" i="1"/>
  <c r="S21" i="1"/>
  <c r="S25" i="1" s="1"/>
  <c r="S37" i="1" s="1"/>
  <c r="D24" i="1"/>
  <c r="D25" i="1" s="1"/>
  <c r="E24" i="1"/>
  <c r="F24" i="1"/>
  <c r="G24" i="1"/>
  <c r="G25" i="1" s="1"/>
  <c r="H24" i="1"/>
  <c r="I24" i="1"/>
  <c r="I25" i="1" s="1"/>
  <c r="J24" i="1"/>
  <c r="K24" i="1"/>
  <c r="O24" i="1"/>
  <c r="O25" i="1" s="1"/>
  <c r="P24" i="1"/>
  <c r="Q24" i="1"/>
  <c r="R24" i="1"/>
  <c r="R25" i="1" s="1"/>
  <c r="S24" i="1"/>
  <c r="F25" i="1"/>
  <c r="F37" i="1" s="1"/>
  <c r="H25" i="1"/>
  <c r="H37" i="1" s="1"/>
  <c r="P25" i="1"/>
  <c r="D26" i="1"/>
  <c r="E26" i="1"/>
  <c r="F26" i="1"/>
  <c r="G26" i="1"/>
  <c r="H26" i="1"/>
  <c r="I26" i="1"/>
  <c r="J26" i="1"/>
  <c r="K26" i="1"/>
  <c r="O26" i="1"/>
  <c r="P26" i="1"/>
  <c r="Q26" i="1"/>
  <c r="R26" i="1"/>
  <c r="S26" i="1"/>
  <c r="F27" i="1"/>
  <c r="F29" i="1" s="1"/>
  <c r="U31" i="1"/>
  <c r="V31" i="1" s="1"/>
  <c r="H34" i="1"/>
  <c r="I34" i="1"/>
  <c r="J34" i="1"/>
  <c r="K34" i="1"/>
  <c r="L34" i="1"/>
  <c r="O34" i="1"/>
  <c r="P34" i="1"/>
  <c r="Q34" i="1"/>
  <c r="R34" i="1"/>
  <c r="S34" i="1"/>
  <c r="T34" i="1"/>
  <c r="E35" i="1"/>
  <c r="F35" i="1"/>
  <c r="G35" i="1"/>
  <c r="H35" i="1"/>
  <c r="I35" i="1"/>
  <c r="J35" i="1"/>
  <c r="K35" i="1"/>
  <c r="D36" i="1"/>
  <c r="F36" i="1"/>
  <c r="G36" i="1"/>
  <c r="H36" i="1"/>
  <c r="I36" i="1"/>
  <c r="J36" i="1"/>
  <c r="K36" i="1"/>
  <c r="O36" i="1"/>
  <c r="P36" i="1"/>
  <c r="Q36" i="1"/>
  <c r="R36" i="1"/>
  <c r="S36" i="1"/>
  <c r="P37" i="1"/>
  <c r="D44" i="1"/>
  <c r="E44" i="1"/>
  <c r="F44" i="1"/>
  <c r="G44" i="1"/>
  <c r="H44" i="1"/>
  <c r="I44" i="1"/>
  <c r="J44" i="1"/>
  <c r="K44" i="1"/>
  <c r="D46" i="1"/>
  <c r="E46" i="1"/>
  <c r="F46" i="1"/>
  <c r="G46" i="1"/>
  <c r="H46" i="1"/>
  <c r="I46" i="1"/>
  <c r="J46" i="1"/>
  <c r="K46" i="1"/>
  <c r="D50" i="1"/>
  <c r="E50" i="1"/>
  <c r="E54" i="1" s="1"/>
  <c r="F50" i="1"/>
  <c r="G50" i="1"/>
  <c r="H50" i="1"/>
  <c r="I50" i="1"/>
  <c r="J50" i="1"/>
  <c r="K50" i="1"/>
  <c r="D54" i="1"/>
  <c r="F54" i="1"/>
  <c r="G54" i="1"/>
  <c r="H54" i="1"/>
  <c r="I54" i="1"/>
  <c r="J54" i="1"/>
  <c r="K54" i="1"/>
  <c r="D65" i="1"/>
  <c r="D66" i="1" s="1"/>
  <c r="E65" i="1"/>
  <c r="E66" i="1" s="1"/>
  <c r="F65" i="1"/>
  <c r="F66" i="1" s="1"/>
  <c r="G65" i="1"/>
  <c r="G66" i="1" s="1"/>
  <c r="H65" i="1"/>
  <c r="H66" i="1" s="1"/>
  <c r="I65" i="1"/>
  <c r="I66" i="1" s="1"/>
  <c r="J65" i="1"/>
  <c r="K65" i="1"/>
  <c r="N65" i="1"/>
  <c r="O65" i="1"/>
  <c r="P65" i="1"/>
  <c r="Q65" i="1"/>
  <c r="R65" i="1"/>
  <c r="S65" i="1"/>
  <c r="J66" i="1"/>
  <c r="K66" i="1"/>
  <c r="U5" i="1"/>
  <c r="F7" i="1"/>
  <c r="F5" i="1"/>
  <c r="R37" i="1" l="1"/>
  <c r="R27" i="1"/>
  <c r="R29" i="1" s="1"/>
  <c r="R30" i="1" s="1"/>
  <c r="G27" i="1"/>
  <c r="G29" i="1" s="1"/>
  <c r="G30" i="1" s="1"/>
  <c r="G37" i="1"/>
  <c r="O37" i="1"/>
  <c r="O27" i="1"/>
  <c r="O29" i="1" s="1"/>
  <c r="O30" i="1" s="1"/>
  <c r="D37" i="1"/>
  <c r="D27" i="1"/>
  <c r="D29" i="1" s="1"/>
  <c r="D56" i="1" s="1"/>
  <c r="F30" i="1"/>
  <c r="F56" i="1"/>
  <c r="P27" i="1"/>
  <c r="P29" i="1" s="1"/>
  <c r="P30" i="1" s="1"/>
  <c r="K25" i="1"/>
  <c r="K27" i="1" s="1"/>
  <c r="K29" i="1" s="1"/>
  <c r="J25" i="1"/>
  <c r="Q25" i="1"/>
  <c r="Q27" i="1" s="1"/>
  <c r="Q29" i="1" s="1"/>
  <c r="Q30" i="1" s="1"/>
  <c r="D30" i="1"/>
  <c r="I27" i="1"/>
  <c r="I29" i="1" s="1"/>
  <c r="I37" i="1"/>
  <c r="Q37" i="1"/>
  <c r="J27" i="1"/>
  <c r="J29" i="1" s="1"/>
  <c r="J37" i="1"/>
  <c r="S27" i="1"/>
  <c r="S29" i="1" s="1"/>
  <c r="S30" i="1" s="1"/>
  <c r="H27" i="1"/>
  <c r="H29" i="1" s="1"/>
  <c r="G56" i="1"/>
  <c r="W31" i="1"/>
  <c r="E25" i="1"/>
  <c r="F8" i="1"/>
  <c r="K37" i="1" l="1"/>
  <c r="K56" i="1"/>
  <c r="K30" i="1"/>
  <c r="I30" i="1"/>
  <c r="I56" i="1"/>
  <c r="H56" i="1"/>
  <c r="H30" i="1"/>
  <c r="J30" i="1"/>
  <c r="J56" i="1"/>
  <c r="E27" i="1"/>
  <c r="E29" i="1" s="1"/>
  <c r="E37" i="1"/>
  <c r="E56" i="1" l="1"/>
  <c r="E30" i="1"/>
</calcChain>
</file>

<file path=xl/sharedStrings.xml><?xml version="1.0" encoding="utf-8"?>
<sst xmlns="http://schemas.openxmlformats.org/spreadsheetml/2006/main" count="94" uniqueCount="86">
  <si>
    <t>Price</t>
  </si>
  <si>
    <t>MC</t>
  </si>
  <si>
    <t>Cash</t>
  </si>
  <si>
    <t>Debt</t>
  </si>
  <si>
    <t>EV</t>
  </si>
  <si>
    <t>Q425</t>
  </si>
  <si>
    <t>Q424</t>
  </si>
  <si>
    <t>Income Statement</t>
  </si>
  <si>
    <t>Q125</t>
  </si>
  <si>
    <t>Q325</t>
  </si>
  <si>
    <t>Q225</t>
  </si>
  <si>
    <t>Q126</t>
  </si>
  <si>
    <t>$millions</t>
  </si>
  <si>
    <t>Revenue</t>
  </si>
  <si>
    <t>COGS</t>
  </si>
  <si>
    <t>Broadcom Inc. (AVGO)</t>
  </si>
  <si>
    <t>Capital Structure</t>
  </si>
  <si>
    <t>FY2022</t>
  </si>
  <si>
    <t>FY2024</t>
  </si>
  <si>
    <t>FY2025</t>
  </si>
  <si>
    <t>FY2026</t>
  </si>
  <si>
    <t>projections</t>
  </si>
  <si>
    <t>Gross profit</t>
  </si>
  <si>
    <t>R&amp;D</t>
  </si>
  <si>
    <t>SG&amp;D</t>
  </si>
  <si>
    <t>Operating expenses</t>
  </si>
  <si>
    <t>Operating income (EBITDA</t>
  </si>
  <si>
    <t>Interest expense</t>
  </si>
  <si>
    <t>Revenue y/y</t>
  </si>
  <si>
    <t>Revenue q/q</t>
  </si>
  <si>
    <t>Gross Margin</t>
  </si>
  <si>
    <t>Operating margin</t>
  </si>
  <si>
    <t>Pretax Income</t>
  </si>
  <si>
    <t>Taxes</t>
  </si>
  <si>
    <t>Net Income</t>
  </si>
  <si>
    <t>EPS</t>
  </si>
  <si>
    <t>Shares Outstanding</t>
  </si>
  <si>
    <t>Shares Outstanding (Diluted)</t>
  </si>
  <si>
    <t>FY2023</t>
  </si>
  <si>
    <t>Balance Sheet</t>
  </si>
  <si>
    <t>Assets</t>
  </si>
  <si>
    <t>A/R</t>
  </si>
  <si>
    <t>Inventory</t>
  </si>
  <si>
    <t>OCA</t>
  </si>
  <si>
    <t>PP&amp;E</t>
  </si>
  <si>
    <t>Goodwill</t>
  </si>
  <si>
    <t>OLTA</t>
  </si>
  <si>
    <t>Liabilities and Equities</t>
  </si>
  <si>
    <t>A/P</t>
  </si>
  <si>
    <t>Employees</t>
  </si>
  <si>
    <t>OCL</t>
  </si>
  <si>
    <t>OLTL</t>
  </si>
  <si>
    <t>S/E</t>
  </si>
  <si>
    <t>L+SE</t>
  </si>
  <si>
    <t>Model NI</t>
  </si>
  <si>
    <t>Reported NI</t>
  </si>
  <si>
    <t>Amortization</t>
  </si>
  <si>
    <t>Depreciation</t>
  </si>
  <si>
    <t>SBC</t>
  </si>
  <si>
    <t>DT</t>
  </si>
  <si>
    <t>Loss on Debt ext</t>
  </si>
  <si>
    <t>Non-cash Interest</t>
  </si>
  <si>
    <t>Other</t>
  </si>
  <si>
    <t>WC</t>
  </si>
  <si>
    <t>CFFO</t>
  </si>
  <si>
    <t>Statement of Cashflows</t>
  </si>
  <si>
    <t>Q324</t>
  </si>
  <si>
    <t>Headcount</t>
  </si>
  <si>
    <t>assuming revenue growth by 20%</t>
  </si>
  <si>
    <t>Products</t>
  </si>
  <si>
    <t>Subscriptions and services</t>
  </si>
  <si>
    <t>Created on 1/1/2026</t>
  </si>
  <si>
    <t>Conservative estimate</t>
  </si>
  <si>
    <t xml:space="preserve">EV </t>
  </si>
  <si>
    <t>CFFO FY26</t>
  </si>
  <si>
    <t>EV/CFFO multiple</t>
  </si>
  <si>
    <t>EV2026</t>
  </si>
  <si>
    <t>Q124</t>
  </si>
  <si>
    <t>Q224</t>
  </si>
  <si>
    <t>FY2027</t>
  </si>
  <si>
    <t>FY2028</t>
  </si>
  <si>
    <t>FY2029</t>
  </si>
  <si>
    <t>FY2021</t>
  </si>
  <si>
    <r>
      <t xml:space="preserve">*** </t>
    </r>
    <r>
      <rPr>
        <sz val="8"/>
        <color theme="1"/>
        <rFont val="Calibri"/>
        <family val="2"/>
        <scheme val="minor"/>
      </rPr>
      <t>Ten-for-one forward stock split</t>
    </r>
  </si>
  <si>
    <t>FY2020</t>
  </si>
  <si>
    <t>The Three Financial Statements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</si>
</sst>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4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wrapText="1"/>
    </xf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3" fontId="1" fillId="0" borderId="0" xfId="0" applyNumberFormat="1" applyFon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79375</xdr:rowOff>
    </xdr:from>
    <xdr:to>
      <xdr:col>11</xdr:col>
      <xdr:colOff>10798</xdr:colOff>
      <xdr:row>74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106E9C-B42E-FF16-9311-85A1530F5D79}"/>
            </a:ext>
          </a:extLst>
        </xdr:cNvPr>
        <xdr:cNvCxnSpPr/>
      </xdr:nvCxnSpPr>
      <xdr:spPr>
        <a:xfrm>
          <a:off x="7302500" y="79375"/>
          <a:ext cx="10798" cy="24954279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9720</xdr:colOff>
      <xdr:row>0</xdr:row>
      <xdr:rowOff>39688</xdr:rowOff>
    </xdr:from>
    <xdr:to>
      <xdr:col>19</xdr:col>
      <xdr:colOff>39079</xdr:colOff>
      <xdr:row>74</xdr:row>
      <xdr:rowOff>9719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1F5DD98-984D-46FC-B8DA-059BD65B9AA4}"/>
            </a:ext>
          </a:extLst>
        </xdr:cNvPr>
        <xdr:cNvCxnSpPr/>
      </xdr:nvCxnSpPr>
      <xdr:spPr>
        <a:xfrm flipH="1">
          <a:off x="13548827" y="39688"/>
          <a:ext cx="29359" cy="143547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CA69-3647-4E1C-B8CB-F8563FF972AE}">
  <dimension ref="A1:W70"/>
  <sheetViews>
    <sheetView tabSelected="1" topLeftCell="A49" zoomScale="98" zoomScaleNormal="98" workbookViewId="0">
      <selection activeCell="H71" sqref="H71"/>
    </sheetView>
  </sheetViews>
  <sheetFormatPr defaultRowHeight="15" x14ac:dyDescent="0.25"/>
  <cols>
    <col min="3" max="3" width="11" customWidth="1"/>
    <col min="5" max="5" width="9.85546875" customWidth="1"/>
    <col min="6" max="6" width="10.28515625" customWidth="1"/>
    <col min="7" max="7" width="11.7109375" customWidth="1"/>
    <col min="8" max="8" width="11.42578125" customWidth="1"/>
    <col min="9" max="9" width="11.140625" customWidth="1"/>
    <col min="10" max="10" width="10.28515625" customWidth="1"/>
    <col min="11" max="11" width="10.28515625" bestFit="1" customWidth="1"/>
    <col min="12" max="12" width="11.28515625" bestFit="1" customWidth="1"/>
    <col min="13" max="15" width="11.28515625" customWidth="1"/>
    <col min="16" max="16" width="11.28515625" bestFit="1" customWidth="1"/>
    <col min="17" max="18" width="11.5703125" customWidth="1"/>
    <col min="19" max="19" width="10.28515625" bestFit="1" customWidth="1"/>
    <col min="21" max="21" width="9.85546875" customWidth="1"/>
    <col min="22" max="22" width="11" customWidth="1"/>
  </cols>
  <sheetData>
    <row r="1" spans="1:23" x14ac:dyDescent="0.25">
      <c r="A1" s="5"/>
      <c r="B1" s="8"/>
      <c r="C1" s="8" t="s">
        <v>71</v>
      </c>
      <c r="D1" s="8"/>
      <c r="E1" s="8"/>
      <c r="F1" s="8"/>
      <c r="G1" s="8"/>
      <c r="H1" s="7" t="s">
        <v>15</v>
      </c>
      <c r="I1" s="8"/>
      <c r="J1" s="8"/>
      <c r="K1" s="8"/>
      <c r="L1" s="8"/>
      <c r="M1" s="8"/>
      <c r="N1" s="8"/>
      <c r="O1" s="8"/>
      <c r="P1" s="8"/>
    </row>
    <row r="2" spans="1:23" x14ac:dyDescent="0.25">
      <c r="T2" t="s">
        <v>73</v>
      </c>
      <c r="U2" s="1">
        <v>1689413</v>
      </c>
    </row>
    <row r="3" spans="1:23" x14ac:dyDescent="0.25">
      <c r="A3" s="5" t="s">
        <v>16</v>
      </c>
      <c r="C3" t="s">
        <v>0</v>
      </c>
      <c r="F3" s="1">
        <v>346</v>
      </c>
      <c r="T3" t="s">
        <v>74</v>
      </c>
      <c r="U3" s="1">
        <v>32000</v>
      </c>
      <c r="V3" s="1"/>
    </row>
    <row r="4" spans="1:23" x14ac:dyDescent="0.25">
      <c r="C4" t="s">
        <v>36</v>
      </c>
      <c r="F4" s="1">
        <v>4741.2</v>
      </c>
      <c r="G4" t="s">
        <v>5</v>
      </c>
      <c r="T4" t="s">
        <v>75</v>
      </c>
      <c r="U4" s="1">
        <v>53</v>
      </c>
    </row>
    <row r="5" spans="1:23" x14ac:dyDescent="0.25">
      <c r="C5" t="s">
        <v>1</v>
      </c>
      <c r="F5" s="1">
        <f>F4*F3</f>
        <v>1640455.2</v>
      </c>
      <c r="T5" t="s">
        <v>76</v>
      </c>
      <c r="U5" s="1">
        <f>U3*U4</f>
        <v>1696000</v>
      </c>
    </row>
    <row r="6" spans="1:23" x14ac:dyDescent="0.25">
      <c r="C6" t="s">
        <v>2</v>
      </c>
      <c r="F6" s="1">
        <v>16178</v>
      </c>
      <c r="G6" t="s">
        <v>5</v>
      </c>
      <c r="U6" s="1"/>
    </row>
    <row r="7" spans="1:23" x14ac:dyDescent="0.25">
      <c r="C7" t="s">
        <v>3</v>
      </c>
      <c r="F7" s="1">
        <f>3152+61984</f>
        <v>65136</v>
      </c>
      <c r="G7" t="s">
        <v>5</v>
      </c>
      <c r="U7" s="1"/>
    </row>
    <row r="8" spans="1:23" x14ac:dyDescent="0.25">
      <c r="C8" t="s">
        <v>4</v>
      </c>
      <c r="F8" s="1">
        <f>F5+F7-F6</f>
        <v>1689413.2</v>
      </c>
      <c r="U8" s="1"/>
      <c r="V8" s="1"/>
    </row>
    <row r="9" spans="1:23" x14ac:dyDescent="0.25">
      <c r="F9" s="1"/>
    </row>
    <row r="10" spans="1:23" x14ac:dyDescent="0.25">
      <c r="F10" s="1"/>
    </row>
    <row r="11" spans="1:23" x14ac:dyDescent="0.25">
      <c r="F11" s="1"/>
    </row>
    <row r="12" spans="1:23" x14ac:dyDescent="0.25">
      <c r="A12" s="6"/>
      <c r="B12" s="6"/>
      <c r="C12" s="6"/>
      <c r="D12" s="6"/>
      <c r="E12" s="6"/>
      <c r="F12" s="6"/>
      <c r="G12" s="6"/>
      <c r="H12" s="13" t="s">
        <v>85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L13" t="s">
        <v>21</v>
      </c>
      <c r="T13" t="s">
        <v>21</v>
      </c>
    </row>
    <row r="14" spans="1:23" x14ac:dyDescent="0.25">
      <c r="C14" t="s">
        <v>12</v>
      </c>
      <c r="D14" t="s">
        <v>77</v>
      </c>
      <c r="E14" t="s">
        <v>78</v>
      </c>
      <c r="F14" t="s">
        <v>66</v>
      </c>
      <c r="G14" t="s">
        <v>6</v>
      </c>
      <c r="H14" t="s">
        <v>8</v>
      </c>
      <c r="I14" t="s">
        <v>10</v>
      </c>
      <c r="J14" t="s">
        <v>9</v>
      </c>
      <c r="K14" t="s">
        <v>5</v>
      </c>
      <c r="L14" t="s">
        <v>11</v>
      </c>
      <c r="N14" t="s">
        <v>84</v>
      </c>
      <c r="O14" t="s">
        <v>82</v>
      </c>
      <c r="P14" t="s">
        <v>17</v>
      </c>
      <c r="Q14" t="s">
        <v>38</v>
      </c>
      <c r="R14" t="s">
        <v>18</v>
      </c>
      <c r="S14" t="s">
        <v>19</v>
      </c>
      <c r="T14" t="s">
        <v>20</v>
      </c>
      <c r="U14" t="s">
        <v>79</v>
      </c>
      <c r="V14" s="1" t="s">
        <v>80</v>
      </c>
      <c r="W14" t="s">
        <v>81</v>
      </c>
    </row>
    <row r="15" spans="1:23" x14ac:dyDescent="0.25">
      <c r="E15" s="2">
        <v>45417</v>
      </c>
      <c r="F15" s="2">
        <v>45508</v>
      </c>
      <c r="G15" s="2">
        <v>45599</v>
      </c>
      <c r="H15" s="2">
        <v>45690</v>
      </c>
      <c r="I15" s="2">
        <v>45781</v>
      </c>
      <c r="J15" s="2">
        <v>45872</v>
      </c>
      <c r="K15" s="2">
        <v>45963</v>
      </c>
      <c r="L15" s="2">
        <v>46055</v>
      </c>
      <c r="M15" s="2"/>
      <c r="N15" s="2">
        <v>44136</v>
      </c>
      <c r="O15" s="2">
        <v>44500</v>
      </c>
      <c r="P15" s="2">
        <v>44864</v>
      </c>
      <c r="Q15" s="2">
        <v>45228</v>
      </c>
      <c r="R15" s="2">
        <v>45599</v>
      </c>
      <c r="S15" s="2">
        <v>45963</v>
      </c>
      <c r="V15" s="1"/>
    </row>
    <row r="16" spans="1:23" x14ac:dyDescent="0.25"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V16" s="1"/>
    </row>
    <row r="17" spans="1:23" x14ac:dyDescent="0.25">
      <c r="C17" t="s">
        <v>69</v>
      </c>
      <c r="F17" s="2"/>
      <c r="G17" s="2"/>
      <c r="H17" s="2"/>
      <c r="I17" s="2"/>
      <c r="J17" s="2"/>
      <c r="K17" s="2"/>
      <c r="L17" s="1"/>
      <c r="M17" s="1"/>
      <c r="N17" s="1"/>
      <c r="O17" s="1">
        <v>20886</v>
      </c>
      <c r="P17" s="1">
        <v>26277</v>
      </c>
      <c r="Q17" s="1">
        <v>28949</v>
      </c>
      <c r="R17" s="1">
        <v>34960</v>
      </c>
      <c r="S17" s="1">
        <v>44847</v>
      </c>
      <c r="T17" s="1"/>
      <c r="V17" s="1"/>
    </row>
    <row r="18" spans="1:23" x14ac:dyDescent="0.25">
      <c r="C18" t="s">
        <v>70</v>
      </c>
      <c r="F18" s="2"/>
      <c r="G18" s="2"/>
      <c r="H18" s="2"/>
      <c r="I18" s="2"/>
      <c r="J18" s="2"/>
      <c r="K18" s="2"/>
      <c r="L18" s="1"/>
      <c r="M18" s="1"/>
      <c r="N18" s="1"/>
      <c r="O18" s="1">
        <v>6564</v>
      </c>
      <c r="P18" s="1">
        <v>6926</v>
      </c>
      <c r="Q18" s="1">
        <v>6870</v>
      </c>
      <c r="R18" s="1">
        <v>16614</v>
      </c>
      <c r="S18" s="1">
        <v>19040</v>
      </c>
      <c r="T18" s="1"/>
      <c r="V18" s="1"/>
    </row>
    <row r="19" spans="1:23" x14ac:dyDescent="0.25">
      <c r="A19" s="7" t="s">
        <v>7</v>
      </c>
      <c r="B19" s="8"/>
      <c r="C19" s="5" t="s">
        <v>13</v>
      </c>
      <c r="D19">
        <v>11961</v>
      </c>
      <c r="E19">
        <v>12487</v>
      </c>
      <c r="F19" s="1">
        <v>8875</v>
      </c>
      <c r="G19" s="1">
        <v>14053</v>
      </c>
      <c r="H19" s="1">
        <v>14916</v>
      </c>
      <c r="I19" s="1">
        <v>14054</v>
      </c>
      <c r="J19" s="1">
        <v>15952</v>
      </c>
      <c r="K19" s="1">
        <v>18015</v>
      </c>
      <c r="L19" s="1"/>
      <c r="M19" s="1"/>
      <c r="N19" s="1">
        <v>23888</v>
      </c>
      <c r="O19" s="1">
        <v>27450</v>
      </c>
      <c r="P19" s="1">
        <v>33203</v>
      </c>
      <c r="Q19" s="1">
        <v>35819</v>
      </c>
      <c r="R19" s="1">
        <v>51574</v>
      </c>
      <c r="S19" s="1">
        <v>63887</v>
      </c>
      <c r="T19" s="1">
        <v>77000</v>
      </c>
      <c r="U19" t="s">
        <v>68</v>
      </c>
      <c r="V19" s="1"/>
    </row>
    <row r="20" spans="1:23" x14ac:dyDescent="0.25">
      <c r="C20" t="s">
        <v>14</v>
      </c>
      <c r="D20">
        <v>3114</v>
      </c>
      <c r="E20">
        <v>3142</v>
      </c>
      <c r="F20" s="1">
        <v>2272</v>
      </c>
      <c r="G20" s="1">
        <v>3399</v>
      </c>
      <c r="H20" s="1">
        <v>3273</v>
      </c>
      <c r="I20" s="1">
        <v>3399</v>
      </c>
      <c r="J20" s="1">
        <v>3704</v>
      </c>
      <c r="K20" s="1">
        <v>4213</v>
      </c>
      <c r="L20" s="1"/>
      <c r="M20" s="1"/>
      <c r="N20" s="1"/>
      <c r="O20" s="1">
        <v>7162</v>
      </c>
      <c r="P20" s="1">
        <v>8256</v>
      </c>
      <c r="Q20" s="1">
        <v>9272</v>
      </c>
      <c r="R20" s="1">
        <v>9805</v>
      </c>
      <c r="S20" s="1">
        <v>12115</v>
      </c>
      <c r="T20" s="1"/>
      <c r="V20" s="1"/>
    </row>
    <row r="21" spans="1:23" x14ac:dyDescent="0.25">
      <c r="C21" t="s">
        <v>22</v>
      </c>
      <c r="D21">
        <f>SUM(D19:D20)</f>
        <v>15075</v>
      </c>
      <c r="E21">
        <f>SUM(E19:E20)</f>
        <v>15629</v>
      </c>
      <c r="F21" s="1">
        <f t="shared" ref="F21:K21" si="0">F19-F20</f>
        <v>6603</v>
      </c>
      <c r="G21" s="1">
        <f t="shared" si="0"/>
        <v>10654</v>
      </c>
      <c r="H21" s="1">
        <f t="shared" si="0"/>
        <v>11643</v>
      </c>
      <c r="I21" s="1">
        <f t="shared" si="0"/>
        <v>10655</v>
      </c>
      <c r="J21" s="1">
        <f t="shared" si="0"/>
        <v>12248</v>
      </c>
      <c r="K21" s="1">
        <f t="shared" si="0"/>
        <v>13802</v>
      </c>
      <c r="L21" s="1"/>
      <c r="M21" s="1"/>
      <c r="N21" s="1"/>
      <c r="O21" s="1">
        <v>3427</v>
      </c>
      <c r="P21" s="1">
        <f>P19-P20</f>
        <v>24947</v>
      </c>
      <c r="Q21" s="1">
        <f>Q19-Q20</f>
        <v>26547</v>
      </c>
      <c r="R21" s="1">
        <f>R19-R20</f>
        <v>41769</v>
      </c>
      <c r="S21" s="1">
        <f>S19-S20</f>
        <v>51772</v>
      </c>
      <c r="T21" s="1"/>
      <c r="V21" s="1"/>
    </row>
    <row r="22" spans="1:23" x14ac:dyDescent="0.25">
      <c r="C22" t="s">
        <v>23</v>
      </c>
      <c r="D22">
        <v>2308</v>
      </c>
      <c r="E22">
        <v>2415</v>
      </c>
      <c r="F22" s="1">
        <v>1358</v>
      </c>
      <c r="G22" s="1">
        <v>2234</v>
      </c>
      <c r="H22" s="1">
        <v>2253</v>
      </c>
      <c r="I22" s="1">
        <v>2234</v>
      </c>
      <c r="J22" s="1">
        <v>3050</v>
      </c>
      <c r="K22" s="1">
        <v>2981</v>
      </c>
      <c r="L22" s="1"/>
      <c r="M22" s="1"/>
      <c r="N22" s="1"/>
      <c r="O22" s="1">
        <v>1200</v>
      </c>
      <c r="P22" s="1">
        <v>4919</v>
      </c>
      <c r="Q22" s="1">
        <v>5253</v>
      </c>
      <c r="R22" s="1">
        <v>9310</v>
      </c>
      <c r="S22" s="1">
        <v>10977</v>
      </c>
      <c r="T22" s="1"/>
      <c r="V22" s="1"/>
    </row>
    <row r="23" spans="1:23" x14ac:dyDescent="0.25">
      <c r="C23" t="s">
        <v>24</v>
      </c>
      <c r="D23">
        <v>1572</v>
      </c>
      <c r="E23">
        <v>1277</v>
      </c>
      <c r="F23" s="1">
        <v>338</v>
      </c>
      <c r="G23" s="1">
        <v>1010</v>
      </c>
      <c r="H23" s="1">
        <v>949</v>
      </c>
      <c r="I23" s="1">
        <v>1010</v>
      </c>
      <c r="J23" s="1">
        <v>1072</v>
      </c>
      <c r="K23" s="1">
        <v>1107</v>
      </c>
      <c r="L23" s="1"/>
      <c r="M23" s="1"/>
      <c r="N23" s="1"/>
      <c r="O23" s="1">
        <v>337</v>
      </c>
      <c r="P23" s="1">
        <v>1382</v>
      </c>
      <c r="Q23" s="1">
        <v>1592</v>
      </c>
      <c r="R23" s="1">
        <v>4959</v>
      </c>
      <c r="S23" s="1">
        <v>1592</v>
      </c>
      <c r="T23" s="1"/>
    </row>
    <row r="24" spans="1:23" x14ac:dyDescent="0.25">
      <c r="C24" t="s">
        <v>25</v>
      </c>
      <c r="D24">
        <f>SUM(D22:D23)</f>
        <v>3880</v>
      </c>
      <c r="E24">
        <f>SUM(E22:E23)</f>
        <v>3692</v>
      </c>
      <c r="F24" s="1">
        <f t="shared" ref="F24:K24" si="1">SUM(F22:F23)</f>
        <v>1696</v>
      </c>
      <c r="G24" s="1">
        <f t="shared" si="1"/>
        <v>3244</v>
      </c>
      <c r="H24" s="1">
        <f t="shared" si="1"/>
        <v>3202</v>
      </c>
      <c r="I24" s="1">
        <f t="shared" si="1"/>
        <v>3244</v>
      </c>
      <c r="J24" s="1">
        <f t="shared" si="1"/>
        <v>4122</v>
      </c>
      <c r="K24" s="1">
        <f t="shared" si="1"/>
        <v>4088</v>
      </c>
      <c r="L24" s="1"/>
      <c r="M24" s="1"/>
      <c r="N24" s="1"/>
      <c r="O24" s="1">
        <f>SUM(O22:O23)</f>
        <v>1537</v>
      </c>
      <c r="P24" s="1">
        <f>SUM(P22:P23)</f>
        <v>6301</v>
      </c>
      <c r="Q24" s="1">
        <f>SUM(Q22:Q23)</f>
        <v>6845</v>
      </c>
      <c r="R24" s="1">
        <f>SUM(R22:R23)</f>
        <v>14269</v>
      </c>
      <c r="S24" s="1">
        <f>SUM(S22:S23)</f>
        <v>12569</v>
      </c>
      <c r="T24" s="1"/>
    </row>
    <row r="25" spans="1:23" x14ac:dyDescent="0.25">
      <c r="C25" t="s">
        <v>26</v>
      </c>
      <c r="D25">
        <f>D21-D24</f>
        <v>11195</v>
      </c>
      <c r="E25">
        <f>E21-E24</f>
        <v>11937</v>
      </c>
      <c r="F25" s="1">
        <f t="shared" ref="F25:K25" si="2">F21-F24</f>
        <v>4907</v>
      </c>
      <c r="G25" s="1">
        <f t="shared" si="2"/>
        <v>7410</v>
      </c>
      <c r="H25" s="1">
        <f t="shared" si="2"/>
        <v>8441</v>
      </c>
      <c r="I25" s="1">
        <f t="shared" si="2"/>
        <v>7411</v>
      </c>
      <c r="J25" s="1">
        <f t="shared" si="2"/>
        <v>8126</v>
      </c>
      <c r="K25" s="1">
        <f t="shared" si="2"/>
        <v>9714</v>
      </c>
      <c r="L25" s="1"/>
      <c r="M25" s="1"/>
      <c r="N25" s="1"/>
      <c r="O25" s="9">
        <f>O21-O24</f>
        <v>1890</v>
      </c>
      <c r="P25" s="9">
        <f>P21-P24</f>
        <v>18646</v>
      </c>
      <c r="Q25" s="9">
        <f>Q21-Q24</f>
        <v>19702</v>
      </c>
      <c r="R25" s="9">
        <f>R21-R24</f>
        <v>27500</v>
      </c>
      <c r="S25" s="9">
        <f>S21-S24</f>
        <v>39203</v>
      </c>
      <c r="T25" s="1"/>
    </row>
    <row r="26" spans="1:23" x14ac:dyDescent="0.25">
      <c r="C26" t="s">
        <v>27</v>
      </c>
      <c r="D26">
        <f>-926+185</f>
        <v>-741</v>
      </c>
      <c r="E26">
        <f>-1047+87</f>
        <v>-960</v>
      </c>
      <c r="F26" s="1">
        <f>-406+124</f>
        <v>-282</v>
      </c>
      <c r="G26" s="1">
        <f>-916+52</f>
        <v>-864</v>
      </c>
      <c r="H26" s="1">
        <f>-873+103</f>
        <v>-770</v>
      </c>
      <c r="I26" s="1">
        <f>-916+52</f>
        <v>-864</v>
      </c>
      <c r="J26" s="1">
        <f>-807+205</f>
        <v>-602</v>
      </c>
      <c r="K26" s="1">
        <f>-761+122</f>
        <v>-639</v>
      </c>
      <c r="L26" s="1"/>
      <c r="M26" s="1"/>
      <c r="N26" s="1"/>
      <c r="O26" s="1">
        <f>-434</f>
        <v>-434</v>
      </c>
      <c r="P26">
        <f>-1737+-54</f>
        <v>-1791</v>
      </c>
      <c r="Q26" s="1">
        <f>-1622+512</f>
        <v>-1110</v>
      </c>
      <c r="R26" s="1">
        <f>-3953+406</f>
        <v>-3547</v>
      </c>
      <c r="S26" s="1">
        <f>-3210+455</f>
        <v>-2755</v>
      </c>
      <c r="T26" s="1"/>
    </row>
    <row r="27" spans="1:23" x14ac:dyDescent="0.25">
      <c r="C27" t="s">
        <v>32</v>
      </c>
      <c r="D27">
        <f>SUM(D25:D26)</f>
        <v>10454</v>
      </c>
      <c r="E27">
        <f>SUM(E25:E26)</f>
        <v>10977</v>
      </c>
      <c r="F27" s="1">
        <f t="shared" ref="F27:K27" si="3">SUM(F25:F26)</f>
        <v>4625</v>
      </c>
      <c r="G27" s="1">
        <f t="shared" si="3"/>
        <v>6546</v>
      </c>
      <c r="H27" s="1">
        <f t="shared" si="3"/>
        <v>7671</v>
      </c>
      <c r="I27" s="1">
        <f t="shared" si="3"/>
        <v>6547</v>
      </c>
      <c r="J27" s="1">
        <f t="shared" si="3"/>
        <v>7524</v>
      </c>
      <c r="K27" s="1">
        <f t="shared" si="3"/>
        <v>9075</v>
      </c>
      <c r="L27" s="1"/>
      <c r="M27" s="1"/>
      <c r="N27" s="1"/>
      <c r="O27" s="1">
        <f>SUM(O25:O26)</f>
        <v>1456</v>
      </c>
      <c r="P27" s="1">
        <f>SUM(P25:P26)</f>
        <v>16855</v>
      </c>
      <c r="Q27" s="1">
        <f>SUM(Q25:Q26)</f>
        <v>18592</v>
      </c>
      <c r="R27" s="1">
        <f>SUM(R25:R26)</f>
        <v>23953</v>
      </c>
      <c r="S27" s="1">
        <f>SUM(S25:S26)</f>
        <v>36448</v>
      </c>
      <c r="T27" s="1"/>
    </row>
    <row r="28" spans="1:23" x14ac:dyDescent="0.25">
      <c r="C28" t="s">
        <v>33</v>
      </c>
      <c r="D28">
        <v>68</v>
      </c>
      <c r="E28">
        <v>-116</v>
      </c>
      <c r="F28" s="1">
        <v>4238</v>
      </c>
      <c r="G28" s="1">
        <v>-442</v>
      </c>
      <c r="H28" s="1">
        <v>-13</v>
      </c>
      <c r="I28" s="1">
        <v>120</v>
      </c>
      <c r="J28" s="1">
        <v>1145</v>
      </c>
      <c r="K28" s="1">
        <v>-1649</v>
      </c>
      <c r="L28" s="1"/>
      <c r="M28" s="1"/>
      <c r="N28" s="1"/>
      <c r="O28" s="1">
        <v>180</v>
      </c>
      <c r="P28" s="1">
        <v>939</v>
      </c>
      <c r="Q28" s="1">
        <v>1015</v>
      </c>
      <c r="R28" s="1">
        <v>3748</v>
      </c>
      <c r="S28" s="1">
        <v>-397</v>
      </c>
      <c r="T28" s="1"/>
    </row>
    <row r="29" spans="1:23" x14ac:dyDescent="0.25">
      <c r="C29" t="s">
        <v>34</v>
      </c>
      <c r="D29">
        <f>SUM(D27:D28)</f>
        <v>10522</v>
      </c>
      <c r="E29">
        <f>SUM(E27:E28)</f>
        <v>10861</v>
      </c>
      <c r="F29" s="1">
        <f t="shared" ref="F29:K29" si="4">SUM(F27:F28)</f>
        <v>8863</v>
      </c>
      <c r="G29" s="1">
        <f t="shared" si="4"/>
        <v>6104</v>
      </c>
      <c r="H29" s="1">
        <f t="shared" si="4"/>
        <v>7658</v>
      </c>
      <c r="I29" s="1">
        <f t="shared" si="4"/>
        <v>6667</v>
      </c>
      <c r="J29" s="1">
        <f t="shared" si="4"/>
        <v>8669</v>
      </c>
      <c r="K29" s="1">
        <f t="shared" si="4"/>
        <v>7426</v>
      </c>
      <c r="L29" s="1"/>
      <c r="M29" s="1"/>
      <c r="N29" s="1"/>
      <c r="O29" s="1">
        <f>SUM(O27:O28)</f>
        <v>1636</v>
      </c>
      <c r="P29" s="1">
        <f>SUM(P27:P28)</f>
        <v>17794</v>
      </c>
      <c r="Q29" s="1">
        <f>SUM(Q27:Q28)</f>
        <v>19607</v>
      </c>
      <c r="R29" s="1">
        <f>SUM(R27:R28)</f>
        <v>27701</v>
      </c>
      <c r="S29" s="1">
        <f>SUM(S27:S28)</f>
        <v>36051</v>
      </c>
      <c r="T29" s="1"/>
    </row>
    <row r="30" spans="1:23" x14ac:dyDescent="0.25">
      <c r="C30" t="s">
        <v>35</v>
      </c>
      <c r="D30" s="10">
        <f t="shared" ref="D30:K30" si="5">D29/D31</f>
        <v>22.531049250535332</v>
      </c>
      <c r="E30" s="10">
        <f t="shared" si="5"/>
        <v>22.627083333333335</v>
      </c>
      <c r="F30" s="10">
        <f t="shared" si="5"/>
        <v>1.9007076989062834</v>
      </c>
      <c r="G30" s="10">
        <f t="shared" si="5"/>
        <v>1.264291632145816</v>
      </c>
      <c r="H30" s="10">
        <f t="shared" si="5"/>
        <v>1.5835401157981803</v>
      </c>
      <c r="I30" s="10">
        <f t="shared" si="5"/>
        <v>1.3814753418980523</v>
      </c>
      <c r="J30" s="10">
        <f t="shared" si="5"/>
        <v>1.7837448559670781</v>
      </c>
      <c r="K30" s="10">
        <f t="shared" si="5"/>
        <v>1.5189200245448966</v>
      </c>
      <c r="L30" s="1"/>
      <c r="M30" s="1"/>
      <c r="N30" s="1"/>
      <c r="O30" s="10">
        <f t="shared" ref="O30:P30" si="6">O29/O31</f>
        <v>3.8046511627906976</v>
      </c>
      <c r="P30" s="10">
        <f t="shared" si="6"/>
        <v>42.066193853427897</v>
      </c>
      <c r="Q30" s="10">
        <f>Q29/Q31</f>
        <v>45.918032786885249</v>
      </c>
      <c r="R30" s="10">
        <f>R29/R31</f>
        <v>5.7976140644621177</v>
      </c>
      <c r="S30" s="10">
        <f>S29/S31</f>
        <v>7.4286008654440554</v>
      </c>
      <c r="T30" s="10"/>
    </row>
    <row r="31" spans="1:23" x14ac:dyDescent="0.25">
      <c r="C31" t="s">
        <v>37</v>
      </c>
      <c r="D31">
        <v>467</v>
      </c>
      <c r="E31">
        <v>480</v>
      </c>
      <c r="F31" s="1">
        <v>4663</v>
      </c>
      <c r="G31" s="1">
        <v>4828</v>
      </c>
      <c r="H31" s="1">
        <v>4836</v>
      </c>
      <c r="I31" s="1">
        <v>4826</v>
      </c>
      <c r="J31" s="1">
        <v>4860</v>
      </c>
      <c r="K31" s="1">
        <v>4889</v>
      </c>
      <c r="L31" s="1"/>
      <c r="M31" s="1"/>
      <c r="N31" s="1"/>
      <c r="O31" s="1">
        <v>430</v>
      </c>
      <c r="P31">
        <v>423</v>
      </c>
      <c r="Q31" s="1">
        <v>427</v>
      </c>
      <c r="R31" s="1">
        <v>4778</v>
      </c>
      <c r="S31" s="4">
        <v>4853</v>
      </c>
      <c r="T31" s="4">
        <v>4853</v>
      </c>
      <c r="U31" s="1">
        <f>AVERAGE(R31:T31)</f>
        <v>4828</v>
      </c>
      <c r="V31" s="1">
        <f t="shared" ref="V31:W31" si="7">AVERAGE(S31:U31)</f>
        <v>4844.666666666667</v>
      </c>
      <c r="W31" s="1">
        <f t="shared" si="7"/>
        <v>4841.8888888888896</v>
      </c>
    </row>
    <row r="32" spans="1:23" x14ac:dyDescent="0.25">
      <c r="G32" s="12"/>
      <c r="H32" s="12"/>
      <c r="I32" s="12"/>
      <c r="J32" s="12"/>
      <c r="K32" s="12"/>
      <c r="Q32" t="s">
        <v>83</v>
      </c>
    </row>
    <row r="33" spans="1:20" x14ac:dyDescent="0.25">
      <c r="L33" s="11"/>
      <c r="M33" s="11"/>
      <c r="N33" s="11"/>
      <c r="O33" s="11"/>
    </row>
    <row r="34" spans="1:20" x14ac:dyDescent="0.25">
      <c r="C34" t="s">
        <v>28</v>
      </c>
      <c r="H34" s="3">
        <f>H19/D19-1</f>
        <v>0.24705292199648854</v>
      </c>
      <c r="I34" s="3">
        <f>I19/E19-1</f>
        <v>0.12549051013053569</v>
      </c>
      <c r="J34" s="3">
        <f>J19/F19-1</f>
        <v>0.79740845070422539</v>
      </c>
      <c r="K34" s="3">
        <f>K19/G19-1</f>
        <v>0.28193268341279443</v>
      </c>
      <c r="L34" s="3">
        <f>L19/H19-1</f>
        <v>-1</v>
      </c>
      <c r="M34" s="3"/>
      <c r="N34" s="3"/>
      <c r="O34" s="3">
        <f t="shared" ref="O34:T34" si="8">O19/N19-1</f>
        <v>0.14911252511721362</v>
      </c>
      <c r="P34" s="3">
        <f t="shared" si="8"/>
        <v>0.20958105646630232</v>
      </c>
      <c r="Q34" s="3">
        <f t="shared" si="8"/>
        <v>7.8788061319760239E-2</v>
      </c>
      <c r="R34" s="3">
        <f t="shared" si="8"/>
        <v>0.43985035874815037</v>
      </c>
      <c r="S34" s="3">
        <f t="shared" si="8"/>
        <v>0.23874432853763516</v>
      </c>
      <c r="T34" s="3">
        <f t="shared" si="8"/>
        <v>0.20525302487203967</v>
      </c>
    </row>
    <row r="35" spans="1:20" x14ac:dyDescent="0.25">
      <c r="C35" t="s">
        <v>29</v>
      </c>
      <c r="E35" s="3">
        <f t="shared" ref="E35:K35" si="9">E19/D19-1</f>
        <v>4.3976256165872529E-2</v>
      </c>
      <c r="F35" s="3">
        <f t="shared" si="9"/>
        <v>-0.28926083126451507</v>
      </c>
      <c r="G35" s="3">
        <f t="shared" si="9"/>
        <v>0.58343661971830985</v>
      </c>
      <c r="H35" s="3">
        <f t="shared" si="9"/>
        <v>6.1410375008894791E-2</v>
      </c>
      <c r="I35" s="3">
        <f t="shared" si="9"/>
        <v>-5.7790292303566693E-2</v>
      </c>
      <c r="J35" s="3">
        <f t="shared" si="9"/>
        <v>0.13505051942507462</v>
      </c>
      <c r="K35" s="3">
        <f t="shared" si="9"/>
        <v>0.12932547642928793</v>
      </c>
    </row>
    <row r="36" spans="1:20" x14ac:dyDescent="0.25">
      <c r="C36" t="s">
        <v>30</v>
      </c>
      <c r="D36" s="3">
        <f>D21/D19</f>
        <v>1.2603461249059442</v>
      </c>
      <c r="E36" s="3">
        <f>E21/E19</f>
        <v>1.2516216865540162</v>
      </c>
      <c r="F36" s="3">
        <f t="shared" ref="F36:K36" si="10">F21/F19</f>
        <v>0.74399999999999999</v>
      </c>
      <c r="G36" s="3">
        <f t="shared" si="10"/>
        <v>0.75812993666832706</v>
      </c>
      <c r="H36" s="3">
        <f t="shared" si="10"/>
        <v>0.78057119871279168</v>
      </c>
      <c r="I36" s="3">
        <f t="shared" si="10"/>
        <v>0.75814714671979511</v>
      </c>
      <c r="J36" s="3">
        <f t="shared" si="10"/>
        <v>0.7678034102306921</v>
      </c>
      <c r="K36" s="3">
        <f t="shared" si="10"/>
        <v>0.76613932833749654</v>
      </c>
      <c r="O36" s="3">
        <f>O21/O19</f>
        <v>0.12484517304189435</v>
      </c>
      <c r="P36" s="3">
        <f>P21/P19</f>
        <v>0.75134776977983919</v>
      </c>
      <c r="Q36" s="3">
        <f>Q21/Q19</f>
        <v>0.74114296881543318</v>
      </c>
      <c r="R36" s="3">
        <f>R21/R19</f>
        <v>0.80988482568736186</v>
      </c>
      <c r="S36" s="3">
        <f>S21/S19</f>
        <v>0.81036830654123693</v>
      </c>
    </row>
    <row r="37" spans="1:20" x14ac:dyDescent="0.25">
      <c r="C37" t="s">
        <v>31</v>
      </c>
      <c r="D37" s="3">
        <f t="shared" ref="D37" si="11">D25/D19</f>
        <v>0.93595853189532652</v>
      </c>
      <c r="E37" s="3">
        <f t="shared" ref="E37:K37" si="12">E25/E19</f>
        <v>0.95595419236005441</v>
      </c>
      <c r="F37" s="3">
        <f t="shared" si="12"/>
        <v>0.55290140845070423</v>
      </c>
      <c r="G37" s="3">
        <f t="shared" si="12"/>
        <v>0.5272895467160037</v>
      </c>
      <c r="H37" s="3">
        <f t="shared" si="12"/>
        <v>0.56590238669884685</v>
      </c>
      <c r="I37" s="3">
        <f t="shared" si="12"/>
        <v>0.52732318201223849</v>
      </c>
      <c r="J37" s="3">
        <f t="shared" si="12"/>
        <v>0.50940320962888663</v>
      </c>
      <c r="K37" s="3">
        <f t="shared" si="12"/>
        <v>0.53921731890091595</v>
      </c>
      <c r="O37" s="3">
        <f>O25/O19</f>
        <v>6.8852459016393447E-2</v>
      </c>
      <c r="P37" s="3">
        <f>P25/P19</f>
        <v>0.56157576122639519</v>
      </c>
      <c r="Q37" s="3">
        <f>Q25/Q19</f>
        <v>0.55004327312320278</v>
      </c>
      <c r="R37" s="3">
        <f>R25/R19</f>
        <v>0.53321441036181016</v>
      </c>
      <c r="S37" s="3">
        <f>S25/S19</f>
        <v>0.61363031602673468</v>
      </c>
      <c r="T37" s="3">
        <v>0.67</v>
      </c>
    </row>
    <row r="39" spans="1:20" x14ac:dyDescent="0.25">
      <c r="A39" s="7" t="s">
        <v>39</v>
      </c>
      <c r="B39" s="8"/>
      <c r="C39" t="s">
        <v>2</v>
      </c>
      <c r="D39" s="1">
        <v>11864</v>
      </c>
      <c r="E39" s="1">
        <v>9809</v>
      </c>
      <c r="F39" s="1">
        <v>9952</v>
      </c>
      <c r="G39" s="1">
        <v>9348</v>
      </c>
      <c r="H39" s="1">
        <v>9307</v>
      </c>
      <c r="I39" s="1">
        <v>9472</v>
      </c>
      <c r="J39" s="1">
        <v>10718</v>
      </c>
      <c r="K39" s="1">
        <v>16178</v>
      </c>
    </row>
    <row r="40" spans="1:20" x14ac:dyDescent="0.25">
      <c r="A40" t="s">
        <v>40</v>
      </c>
      <c r="C40" t="s">
        <v>41</v>
      </c>
      <c r="D40" s="1">
        <v>4969</v>
      </c>
      <c r="E40" s="1">
        <v>5500</v>
      </c>
      <c r="F40" s="1">
        <v>4665</v>
      </c>
      <c r="G40" s="1">
        <v>4416</v>
      </c>
      <c r="H40" s="1">
        <v>4955</v>
      </c>
      <c r="I40" s="1">
        <v>5563</v>
      </c>
      <c r="J40" s="1">
        <v>6494</v>
      </c>
      <c r="K40" s="1">
        <v>7145</v>
      </c>
    </row>
    <row r="41" spans="1:20" x14ac:dyDescent="0.25">
      <c r="C41" t="s">
        <v>42</v>
      </c>
      <c r="D41" s="1">
        <v>1920</v>
      </c>
      <c r="E41" s="1">
        <v>1842</v>
      </c>
      <c r="F41" s="1">
        <v>1894</v>
      </c>
      <c r="G41" s="1">
        <v>1760</v>
      </c>
      <c r="H41" s="1">
        <v>1908</v>
      </c>
      <c r="I41" s="1">
        <v>2017</v>
      </c>
      <c r="J41" s="1">
        <v>2180</v>
      </c>
      <c r="K41" s="1">
        <v>2270</v>
      </c>
    </row>
    <row r="42" spans="1:20" x14ac:dyDescent="0.25">
      <c r="C42" t="s">
        <v>43</v>
      </c>
      <c r="D42" s="1">
        <v>8439</v>
      </c>
      <c r="E42" s="1">
        <v>8151</v>
      </c>
      <c r="F42" s="1">
        <v>3436</v>
      </c>
      <c r="G42" s="1">
        <v>4070</v>
      </c>
      <c r="H42" s="1">
        <v>4820</v>
      </c>
      <c r="I42" s="1">
        <v>5129</v>
      </c>
      <c r="J42" s="1">
        <v>5606</v>
      </c>
      <c r="K42" s="1">
        <v>5980</v>
      </c>
    </row>
    <row r="43" spans="1:20" x14ac:dyDescent="0.25">
      <c r="C43" t="s">
        <v>44</v>
      </c>
      <c r="D43" s="1">
        <v>2662</v>
      </c>
      <c r="E43" s="1">
        <v>2668</v>
      </c>
      <c r="F43" s="1">
        <v>2602</v>
      </c>
      <c r="G43" s="1">
        <v>2521</v>
      </c>
      <c r="H43" s="1">
        <v>2465</v>
      </c>
      <c r="I43" s="1">
        <v>2462</v>
      </c>
      <c r="J43" s="1">
        <v>2451</v>
      </c>
      <c r="K43" s="1">
        <v>2530</v>
      </c>
      <c r="O43">
        <v>2348</v>
      </c>
      <c r="P43">
        <v>2223</v>
      </c>
      <c r="Q43">
        <v>2154</v>
      </c>
      <c r="R43">
        <v>2521</v>
      </c>
      <c r="S43">
        <v>2530</v>
      </c>
    </row>
    <row r="44" spans="1:20" x14ac:dyDescent="0.25">
      <c r="C44" t="s">
        <v>45</v>
      </c>
      <c r="D44" s="1">
        <f>97586+47185</f>
        <v>144771</v>
      </c>
      <c r="E44" s="1">
        <f>97873+45407</f>
        <v>143280</v>
      </c>
      <c r="F44" s="1">
        <f>97873+43034</f>
        <v>140907</v>
      </c>
      <c r="G44" s="1">
        <f>97873+40583</f>
        <v>138456</v>
      </c>
      <c r="H44" s="1">
        <f>97871+38583</f>
        <v>136454</v>
      </c>
      <c r="I44" s="1">
        <f>97801+36393</f>
        <v>134194</v>
      </c>
      <c r="J44" s="1">
        <f>97801+34344</f>
        <v>132145</v>
      </c>
      <c r="K44" s="1">
        <f>97801+32273</f>
        <v>130074</v>
      </c>
    </row>
    <row r="45" spans="1:20" x14ac:dyDescent="0.25">
      <c r="C45" t="s">
        <v>46</v>
      </c>
      <c r="D45" s="1">
        <v>3245</v>
      </c>
      <c r="E45" s="1">
        <v>3961</v>
      </c>
      <c r="F45" s="1">
        <v>4510</v>
      </c>
      <c r="G45" s="1">
        <v>5073</v>
      </c>
      <c r="H45" s="1">
        <v>5449</v>
      </c>
      <c r="I45" s="1">
        <v>5793</v>
      </c>
      <c r="J45" s="1">
        <v>6027</v>
      </c>
      <c r="K45" s="1">
        <v>6915</v>
      </c>
    </row>
    <row r="46" spans="1:20" x14ac:dyDescent="0.25">
      <c r="C46" t="s">
        <v>40</v>
      </c>
      <c r="D46" s="9">
        <f t="shared" ref="D46:K46" si="13">SUM(D39:D45)</f>
        <v>177870</v>
      </c>
      <c r="E46" s="9">
        <f t="shared" si="13"/>
        <v>175211</v>
      </c>
      <c r="F46" s="9">
        <f t="shared" si="13"/>
        <v>167966</v>
      </c>
      <c r="G46" s="9">
        <f t="shared" si="13"/>
        <v>165644</v>
      </c>
      <c r="H46" s="9">
        <f t="shared" si="13"/>
        <v>165358</v>
      </c>
      <c r="I46" s="9">
        <f t="shared" si="13"/>
        <v>164630</v>
      </c>
      <c r="J46" s="9">
        <f t="shared" si="13"/>
        <v>165621</v>
      </c>
      <c r="K46" s="9">
        <f t="shared" si="13"/>
        <v>171092</v>
      </c>
    </row>
    <row r="47" spans="1:20" x14ac:dyDescent="0.25">
      <c r="D47" s="1"/>
      <c r="E47" s="1"/>
      <c r="F47" s="1"/>
      <c r="G47" s="1"/>
      <c r="H47" s="1"/>
      <c r="I47" s="1"/>
      <c r="J47" s="1"/>
      <c r="K47" s="1"/>
    </row>
    <row r="48" spans="1:20" x14ac:dyDescent="0.25">
      <c r="A48" t="s">
        <v>47</v>
      </c>
      <c r="C48" t="s">
        <v>48</v>
      </c>
      <c r="D48" s="1">
        <v>1496</v>
      </c>
      <c r="E48" s="1">
        <v>1441</v>
      </c>
      <c r="F48" s="1">
        <v>1757</v>
      </c>
      <c r="G48" s="1">
        <v>1662</v>
      </c>
      <c r="H48" s="1">
        <v>1905</v>
      </c>
      <c r="I48" s="1">
        <v>1297</v>
      </c>
      <c r="J48" s="1">
        <v>1432</v>
      </c>
      <c r="K48" s="1">
        <v>1560</v>
      </c>
    </row>
    <row r="49" spans="1:19" x14ac:dyDescent="0.25">
      <c r="C49" t="s">
        <v>49</v>
      </c>
      <c r="D49" s="1">
        <v>1128</v>
      </c>
      <c r="E49" s="1">
        <v>1385</v>
      </c>
      <c r="F49" s="1">
        <v>1725</v>
      </c>
      <c r="G49" s="1">
        <v>1971</v>
      </c>
      <c r="H49" s="1">
        <v>922</v>
      </c>
      <c r="I49" s="1">
        <v>1266</v>
      </c>
      <c r="J49" s="1">
        <v>1719</v>
      </c>
      <c r="K49" s="1">
        <v>2129</v>
      </c>
    </row>
    <row r="50" spans="1:19" x14ac:dyDescent="0.25">
      <c r="C50" t="s">
        <v>3</v>
      </c>
      <c r="D50" s="1">
        <f>2433+73468</f>
        <v>75901</v>
      </c>
      <c r="E50" s="1">
        <f>2426+71590</f>
        <v>74016</v>
      </c>
      <c r="F50" s="1">
        <f>3161+66798</f>
        <v>69959</v>
      </c>
      <c r="G50" s="1">
        <f>1271+66295</f>
        <v>67566</v>
      </c>
      <c r="H50" s="1">
        <f>5653+60926</f>
        <v>66579</v>
      </c>
      <c r="I50" s="1">
        <f>5531+61751</f>
        <v>67282</v>
      </c>
      <c r="J50" s="1">
        <f>1399+62830</f>
        <v>64229</v>
      </c>
      <c r="K50" s="1">
        <f>3152+61984</f>
        <v>65136</v>
      </c>
    </row>
    <row r="51" spans="1:19" x14ac:dyDescent="0.25">
      <c r="C51" t="s">
        <v>50</v>
      </c>
      <c r="D51" s="1">
        <v>15312</v>
      </c>
      <c r="E51" s="1">
        <v>14919</v>
      </c>
      <c r="F51" s="1">
        <v>12578</v>
      </c>
      <c r="G51" s="1">
        <v>11793</v>
      </c>
      <c r="H51" s="1">
        <v>12430</v>
      </c>
      <c r="I51" s="1">
        <v>12503</v>
      </c>
      <c r="J51" s="1">
        <v>12154</v>
      </c>
      <c r="K51" s="1">
        <v>11673</v>
      </c>
    </row>
    <row r="52" spans="1:19" x14ac:dyDescent="0.25">
      <c r="C52" t="s">
        <v>51</v>
      </c>
      <c r="D52" s="1">
        <v>13749</v>
      </c>
      <c r="E52" s="1">
        <v>13489</v>
      </c>
      <c r="F52" s="1">
        <v>16296</v>
      </c>
      <c r="G52" s="1">
        <v>14975</v>
      </c>
      <c r="H52" s="1">
        <v>13733</v>
      </c>
      <c r="I52" s="1">
        <v>12696</v>
      </c>
      <c r="J52" s="1">
        <v>12810</v>
      </c>
      <c r="K52" s="1">
        <v>9302</v>
      </c>
    </row>
    <row r="53" spans="1:19" x14ac:dyDescent="0.25">
      <c r="C53" t="s">
        <v>52</v>
      </c>
      <c r="D53" s="1">
        <v>70284</v>
      </c>
      <c r="E53" s="1">
        <v>69961</v>
      </c>
      <c r="F53" s="1">
        <v>65651</v>
      </c>
      <c r="G53" s="1">
        <v>67678</v>
      </c>
      <c r="H53" s="1">
        <v>69784</v>
      </c>
      <c r="I53" s="1">
        <v>69586</v>
      </c>
      <c r="J53" s="1">
        <v>73277</v>
      </c>
      <c r="K53" s="1">
        <v>81292</v>
      </c>
    </row>
    <row r="54" spans="1:19" x14ac:dyDescent="0.25">
      <c r="C54" t="s">
        <v>53</v>
      </c>
      <c r="D54" s="9">
        <f t="shared" ref="D54:K54" si="14">SUM(D48:D53)</f>
        <v>177870</v>
      </c>
      <c r="E54" s="9">
        <f t="shared" si="14"/>
        <v>175211</v>
      </c>
      <c r="F54" s="9">
        <f t="shared" si="14"/>
        <v>167966</v>
      </c>
      <c r="G54" s="9">
        <f t="shared" si="14"/>
        <v>165645</v>
      </c>
      <c r="H54" s="9">
        <f t="shared" si="14"/>
        <v>165353</v>
      </c>
      <c r="I54" s="9">
        <f t="shared" si="14"/>
        <v>164630</v>
      </c>
      <c r="J54" s="9">
        <f t="shared" si="14"/>
        <v>165621</v>
      </c>
      <c r="K54" s="9">
        <f t="shared" si="14"/>
        <v>171092</v>
      </c>
    </row>
    <row r="55" spans="1:19" x14ac:dyDescent="0.25">
      <c r="D55" s="1"/>
      <c r="E55" s="1"/>
    </row>
    <row r="56" spans="1:19" x14ac:dyDescent="0.25">
      <c r="A56" s="7" t="s">
        <v>65</v>
      </c>
      <c r="B56" s="8"/>
      <c r="C56" t="s">
        <v>54</v>
      </c>
      <c r="D56" s="1">
        <f t="shared" ref="D56:J56" si="15">SUM(D29)</f>
        <v>10522</v>
      </c>
      <c r="E56" s="1">
        <f t="shared" si="15"/>
        <v>10861</v>
      </c>
      <c r="F56" s="1">
        <f t="shared" si="15"/>
        <v>8863</v>
      </c>
      <c r="G56" s="1">
        <f t="shared" si="15"/>
        <v>6104</v>
      </c>
      <c r="H56" s="1">
        <f t="shared" si="15"/>
        <v>7658</v>
      </c>
      <c r="I56" s="1">
        <f t="shared" si="15"/>
        <v>6667</v>
      </c>
      <c r="J56" s="1">
        <f t="shared" si="15"/>
        <v>8669</v>
      </c>
      <c r="K56" s="1">
        <f>SUM(K29)</f>
        <v>7426</v>
      </c>
    </row>
    <row r="57" spans="1:19" x14ac:dyDescent="0.25">
      <c r="C57" t="s">
        <v>55</v>
      </c>
      <c r="D57" s="1">
        <v>1325</v>
      </c>
      <c r="E57" s="1">
        <v>2121</v>
      </c>
      <c r="F57">
        <v>-1875</v>
      </c>
      <c r="G57">
        <v>4324</v>
      </c>
      <c r="H57">
        <v>1325</v>
      </c>
      <c r="I57">
        <v>2121</v>
      </c>
      <c r="J57">
        <v>-1875</v>
      </c>
      <c r="K57" s="1">
        <v>8518</v>
      </c>
    </row>
    <row r="58" spans="1:19" x14ac:dyDescent="0.25">
      <c r="C58" t="s">
        <v>56</v>
      </c>
      <c r="D58" s="1">
        <v>2206</v>
      </c>
      <c r="E58" s="1">
        <v>2381</v>
      </c>
      <c r="F58">
        <v>2375</v>
      </c>
      <c r="G58">
        <v>2455</v>
      </c>
      <c r="H58">
        <v>2206</v>
      </c>
      <c r="I58">
        <v>2381</v>
      </c>
      <c r="J58">
        <v>2375</v>
      </c>
      <c r="K58">
        <v>2085</v>
      </c>
      <c r="O58" s="1">
        <v>5502</v>
      </c>
      <c r="P58" s="1">
        <v>4455</v>
      </c>
      <c r="Q58" s="1">
        <v>3333</v>
      </c>
      <c r="R58" s="1">
        <v>9417</v>
      </c>
      <c r="S58" s="1">
        <v>8210</v>
      </c>
    </row>
    <row r="59" spans="1:19" x14ac:dyDescent="0.25">
      <c r="C59" t="s">
        <v>57</v>
      </c>
      <c r="D59" s="1">
        <v>139</v>
      </c>
      <c r="E59" s="1">
        <v>149</v>
      </c>
      <c r="F59">
        <v>149</v>
      </c>
      <c r="G59">
        <v>156</v>
      </c>
      <c r="H59">
        <v>139</v>
      </c>
      <c r="I59">
        <v>149</v>
      </c>
      <c r="J59">
        <v>149</v>
      </c>
      <c r="K59">
        <v>148</v>
      </c>
      <c r="O59" s="1">
        <v>539</v>
      </c>
      <c r="P59" s="1">
        <v>529</v>
      </c>
      <c r="Q59" s="1">
        <v>502</v>
      </c>
      <c r="R59" s="1">
        <v>593</v>
      </c>
      <c r="S59" s="1">
        <v>574</v>
      </c>
    </row>
    <row r="60" spans="1:19" x14ac:dyDescent="0.25">
      <c r="C60" t="s">
        <v>58</v>
      </c>
      <c r="D60" s="1">
        <v>1582</v>
      </c>
      <c r="E60" s="1">
        <v>1457</v>
      </c>
      <c r="F60">
        <v>1388</v>
      </c>
      <c r="G60">
        <v>1314</v>
      </c>
      <c r="H60">
        <v>1582</v>
      </c>
      <c r="I60">
        <v>1457</v>
      </c>
      <c r="J60">
        <v>1388</v>
      </c>
      <c r="K60">
        <v>2195</v>
      </c>
    </row>
    <row r="61" spans="1:19" x14ac:dyDescent="0.25">
      <c r="C61" t="s">
        <v>59</v>
      </c>
      <c r="D61" s="1">
        <v>-294</v>
      </c>
      <c r="E61" s="1">
        <v>-511</v>
      </c>
      <c r="F61">
        <v>3638</v>
      </c>
      <c r="G61">
        <v>-868</v>
      </c>
      <c r="H61">
        <v>-294</v>
      </c>
      <c r="I61">
        <v>-511</v>
      </c>
      <c r="J61">
        <v>3638</v>
      </c>
      <c r="K61">
        <v>-3025</v>
      </c>
    </row>
    <row r="62" spans="1:19" x14ac:dyDescent="0.25">
      <c r="C62" t="s">
        <v>60</v>
      </c>
      <c r="D62" s="1">
        <v>0</v>
      </c>
      <c r="E62" s="1">
        <v>0</v>
      </c>
      <c r="F62">
        <v>83</v>
      </c>
      <c r="G62">
        <v>52</v>
      </c>
      <c r="H62">
        <v>0</v>
      </c>
      <c r="I62">
        <v>0</v>
      </c>
      <c r="J62">
        <v>83</v>
      </c>
      <c r="K62">
        <v>20</v>
      </c>
    </row>
    <row r="63" spans="1:19" x14ac:dyDescent="0.25">
      <c r="C63" t="s">
        <v>61</v>
      </c>
      <c r="D63" s="1">
        <v>102</v>
      </c>
      <c r="E63" s="1">
        <v>119</v>
      </c>
      <c r="F63">
        <v>115</v>
      </c>
      <c r="G63">
        <v>91</v>
      </c>
      <c r="H63">
        <v>102</v>
      </c>
      <c r="I63">
        <v>119</v>
      </c>
      <c r="J63">
        <v>115</v>
      </c>
      <c r="K63">
        <v>71</v>
      </c>
    </row>
    <row r="64" spans="1:19" x14ac:dyDescent="0.25">
      <c r="C64" t="s">
        <v>62</v>
      </c>
      <c r="D64" s="1">
        <v>38</v>
      </c>
      <c r="E64" s="1">
        <v>92</v>
      </c>
      <c r="F64">
        <v>158</v>
      </c>
      <c r="G64">
        <v>138</v>
      </c>
      <c r="H64">
        <v>38</v>
      </c>
      <c r="I64">
        <v>92</v>
      </c>
      <c r="J64">
        <v>158</v>
      </c>
      <c r="K64">
        <v>36</v>
      </c>
    </row>
    <row r="65" spans="1:21" x14ac:dyDescent="0.25">
      <c r="C65" t="s">
        <v>63</v>
      </c>
      <c r="D65" s="1">
        <f>1756-14-74-660-2182+891</f>
        <v>-283</v>
      </c>
      <c r="E65" s="1">
        <f>-513+82-93+251-386-569</f>
        <v>-1228</v>
      </c>
      <c r="F65">
        <f>835-52+373+291-1345-1170</f>
        <v>-1068</v>
      </c>
      <c r="G65">
        <f>249+134-85+196-1410-1142</f>
        <v>-2058</v>
      </c>
      <c r="H65">
        <f>1756-14-74-660-2182+891</f>
        <v>-283</v>
      </c>
      <c r="I65">
        <f>-513+82-93+251-386-569</f>
        <v>-1228</v>
      </c>
      <c r="J65">
        <f>835-52+373+291-1345-1170</f>
        <v>-1068</v>
      </c>
      <c r="K65">
        <f>-651+-90+118+410+-809+-1323</f>
        <v>-2345</v>
      </c>
      <c r="N65">
        <f>981-31-3+217+331-402</f>
        <v>1093</v>
      </c>
      <c r="O65">
        <f>210-294+243+186-177-295</f>
        <v>-127</v>
      </c>
      <c r="P65">
        <f>-870-627-79+136+222-436</f>
        <v>-1654</v>
      </c>
      <c r="Q65">
        <f>-187+27+209-279-628-785</f>
        <v>-1643</v>
      </c>
      <c r="R65">
        <f>2327+150+121+78-5323-1990</f>
        <v>-4637</v>
      </c>
      <c r="S65">
        <f>-2717+-510-118+300-1837-3618</f>
        <v>-8500</v>
      </c>
    </row>
    <row r="66" spans="1:21" x14ac:dyDescent="0.25">
      <c r="C66" t="s">
        <v>64</v>
      </c>
      <c r="D66" s="9">
        <f t="shared" ref="D66:K66" si="16">SUM(D57:D65)</f>
        <v>4815</v>
      </c>
      <c r="E66" s="9">
        <f t="shared" si="16"/>
        <v>4580</v>
      </c>
      <c r="F66" s="5">
        <f t="shared" si="16"/>
        <v>4963</v>
      </c>
      <c r="G66" s="5">
        <f t="shared" si="16"/>
        <v>5604</v>
      </c>
      <c r="H66" s="5">
        <f t="shared" si="16"/>
        <v>4815</v>
      </c>
      <c r="I66" s="5">
        <f t="shared" si="16"/>
        <v>4580</v>
      </c>
      <c r="J66" s="5">
        <f t="shared" si="16"/>
        <v>4963</v>
      </c>
      <c r="K66" s="5">
        <f t="shared" si="16"/>
        <v>7703</v>
      </c>
      <c r="N66" s="1">
        <v>12061</v>
      </c>
      <c r="O66" s="1">
        <v>13764</v>
      </c>
      <c r="P66" s="1">
        <v>16736</v>
      </c>
      <c r="Q66" s="1">
        <v>18085</v>
      </c>
      <c r="R66" s="1">
        <v>19962</v>
      </c>
      <c r="S66" s="1">
        <v>27537</v>
      </c>
      <c r="T66" s="1">
        <v>32000</v>
      </c>
      <c r="U66" t="s">
        <v>72</v>
      </c>
    </row>
    <row r="67" spans="1:21" x14ac:dyDescent="0.25">
      <c r="R67" s="1"/>
    </row>
    <row r="68" spans="1:21" x14ac:dyDescent="0.25">
      <c r="R68" s="12"/>
      <c r="S68" s="12"/>
    </row>
    <row r="70" spans="1:21" x14ac:dyDescent="0.25">
      <c r="A70" s="7" t="s">
        <v>62</v>
      </c>
      <c r="B70" s="8"/>
      <c r="C70" t="s">
        <v>67</v>
      </c>
      <c r="Q70" s="1">
        <v>20000</v>
      </c>
      <c r="R70" s="1">
        <v>37000</v>
      </c>
      <c r="S70" s="1">
        <v>33000</v>
      </c>
    </row>
  </sheetData>
  <pageMargins left="0.7" right="0.7" top="0.75" bottom="0.75" header="0.3" footer="0.3"/>
  <ignoredErrors>
    <ignoredError sqref="H26" formula="1"/>
    <ignoredError sqref="O2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2025-12-31T20:22:19Z</dcterms:created>
  <dcterms:modified xsi:type="dcterms:W3CDTF">2026-01-12T17:31:23Z</dcterms:modified>
</cp:coreProperties>
</file>