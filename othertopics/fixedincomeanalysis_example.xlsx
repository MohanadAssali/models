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7F4A234-5D82-4839-983F-AC6B6946C478}" xr6:coauthVersionLast="47" xr6:coauthVersionMax="47" xr10:uidLastSave="{00000000-0000-0000-0000-000000000000}"/>
  <bookViews>
    <workbookView xWindow="-28920" yWindow="660" windowWidth="29040" windowHeight="15720" xr2:uid="{8F5191C8-47CB-4EE2-A5A1-3D33F0C78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H41" i="1"/>
  <c r="H40" i="1"/>
  <c r="H39" i="1"/>
  <c r="H38" i="1"/>
  <c r="H37" i="1"/>
  <c r="H36" i="1"/>
  <c r="H34" i="1"/>
  <c r="H33" i="1"/>
  <c r="H31" i="1"/>
  <c r="H32" i="1"/>
  <c r="H30" i="1"/>
  <c r="H29" i="1" l="1"/>
  <c r="D41" i="1"/>
  <c r="D36" i="1"/>
  <c r="D34" i="1"/>
  <c r="D32" i="1"/>
  <c r="D40" i="1"/>
  <c r="D39" i="1"/>
  <c r="D38" i="1"/>
  <c r="D37" i="1"/>
  <c r="D31" i="1"/>
  <c r="D35" i="1"/>
  <c r="D33" i="1"/>
  <c r="D30" i="1"/>
  <c r="D29" i="1"/>
  <c r="E20" i="1"/>
  <c r="E19" i="1"/>
  <c r="E18" i="1"/>
  <c r="E17" i="1"/>
  <c r="E16" i="1"/>
  <c r="E15" i="1"/>
  <c r="E14" i="1"/>
  <c r="E13" i="1"/>
  <c r="D12" i="1"/>
  <c r="E12" i="1" s="1"/>
  <c r="D11" i="1"/>
  <c r="E11" i="1" s="1"/>
  <c r="E35" i="1" l="1"/>
  <c r="E31" i="1"/>
  <c r="E40" i="1"/>
  <c r="E30" i="1"/>
  <c r="F30" i="1"/>
  <c r="G30" i="1" s="1"/>
  <c r="E36" i="1"/>
  <c r="E39" i="1"/>
  <c r="F39" i="1" s="1"/>
  <c r="G39" i="1" s="1"/>
  <c r="F35" i="1"/>
  <c r="G35" i="1" s="1"/>
  <c r="E21" i="1"/>
  <c r="F11" i="1" l="1"/>
  <c r="G11" i="1" s="1"/>
  <c r="F14" i="1"/>
  <c r="G14" i="1" s="1"/>
  <c r="F20" i="1"/>
  <c r="G20" i="1" s="1"/>
  <c r="F18" i="1"/>
  <c r="G18" i="1" s="1"/>
  <c r="F16" i="1"/>
  <c r="G16" i="1" s="1"/>
  <c r="F19" i="1"/>
  <c r="G19" i="1" s="1"/>
  <c r="F17" i="1"/>
  <c r="G17" i="1" s="1"/>
  <c r="F15" i="1"/>
  <c r="G15" i="1" s="1"/>
  <c r="F13" i="1"/>
  <c r="G13" i="1" s="1"/>
  <c r="F12" i="1"/>
  <c r="G12" i="1" s="1"/>
  <c r="G21" i="1" l="1"/>
</calcChain>
</file>

<file path=xl/sharedStrings.xml><?xml version="1.0" encoding="utf-8"?>
<sst xmlns="http://schemas.openxmlformats.org/spreadsheetml/2006/main" count="53" uniqueCount="44">
  <si>
    <t>Created on 1/4/2026</t>
  </si>
  <si>
    <t>Period</t>
  </si>
  <si>
    <t>10yr bond</t>
  </si>
  <si>
    <t>Yield to Maturity</t>
  </si>
  <si>
    <t>Coupon Rate</t>
  </si>
  <si>
    <t>Notional Amount</t>
  </si>
  <si>
    <t>Cash flow</t>
  </si>
  <si>
    <t>PV of CF</t>
  </si>
  <si>
    <t>PV as % of total</t>
  </si>
  <si>
    <t>PV%*Period</t>
  </si>
  <si>
    <t>NOTIONAL AMOUNT* COUPON RATE</t>
  </si>
  <si>
    <t>PV OF CF</t>
  </si>
  <si>
    <t>CF/(1+YIELD TO MATURITY)^PERIOD</t>
  </si>
  <si>
    <t>PV as % of Total</t>
  </si>
  <si>
    <t>Bond fair value</t>
  </si>
  <si>
    <t>PV of CF/BOND FAIR VALUE</t>
  </si>
  <si>
    <t>Macaulay Duration</t>
  </si>
  <si>
    <t>Convexity</t>
  </si>
  <si>
    <t xml:space="preserve">SUM </t>
  </si>
  <si>
    <t>if rates rise by 1%, Price of our bond will fall by 8.36%</t>
  </si>
  <si>
    <t>Bond Price</t>
  </si>
  <si>
    <t>Convexity + Duration implied price</t>
  </si>
  <si>
    <t>Duration implied price</t>
  </si>
  <si>
    <t>Dollar Duration</t>
  </si>
  <si>
    <t>Dollar Convexity</t>
  </si>
  <si>
    <t>MINUS -PV(YTM,TOTAL PERIOD, CR*NA, NA)</t>
  </si>
  <si>
    <t>1ST DERIVATIVE</t>
  </si>
  <si>
    <t>2ND DERIVATIVE</t>
  </si>
  <si>
    <t>DOLLAR CONVEXITY / BOND PRICE</t>
  </si>
  <si>
    <t>CHANGE IN BOND PRICE - DURATION (CHANGE IN YTM) + 1/2 CONVEXITY(Change in YTM)</t>
  </si>
  <si>
    <t>(CHANGE DOLLAR DURATION)/( CHANGE YTM)</t>
  </si>
  <si>
    <t>(CHANGE BOND PRICE) /(CHANGE YTM)</t>
  </si>
  <si>
    <t>-</t>
  </si>
  <si>
    <t>(1+(-MACA DURATION*(CURRENT YTM-BASE YTM)))* Bond Fair Value</t>
  </si>
  <si>
    <t xml:space="preserve">Convexity  </t>
  </si>
  <si>
    <t>(1+(-MACA DURATION*(CURRENT YTM-BASE YTM)) +(0.5*CONVEXITY*(CURRENT YTM - BASE YTM)^2)))*Bond Fair Price</t>
  </si>
  <si>
    <t>Modified MAC Dur</t>
  </si>
  <si>
    <t>MACA DUR</t>
  </si>
  <si>
    <t>EFFECTIVE MATURITY</t>
  </si>
  <si>
    <t>SUM</t>
  </si>
  <si>
    <t>MAC/(1+BASE YTM)</t>
  </si>
  <si>
    <t>`</t>
  </si>
  <si>
    <t>Fixed Income Analysis Example</t>
  </si>
  <si>
    <t>Mohanad Assali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</si>
</sst>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2" borderId="0" xfId="0" applyNumberFormat="1" applyFill="1"/>
    <xf numFmtId="166" fontId="0" fillId="0" borderId="0" xfId="0" applyNumberFormat="1"/>
    <xf numFmtId="10" fontId="0" fillId="3" borderId="0" xfId="0" applyNumberFormat="1" applyFill="1"/>
    <xf numFmtId="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0" xfId="0" applyFont="1" applyFill="1"/>
    <xf numFmtId="3" fontId="0" fillId="0" borderId="2" xfId="0" applyNumberFormat="1" applyBorder="1"/>
    <xf numFmtId="14" fontId="0" fillId="0" borderId="2" xfId="0" applyNumberFormat="1" applyBorder="1"/>
    <xf numFmtId="3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CA69-3647-4E1C-B8CB-F8563FF972AE}">
  <dimension ref="A1:BO301"/>
  <sheetViews>
    <sheetView tabSelected="1" zoomScale="98" zoomScaleNormal="98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O19" sqref="O19"/>
    </sheetView>
  </sheetViews>
  <sheetFormatPr defaultRowHeight="14.4" x14ac:dyDescent="0.3"/>
  <cols>
    <col min="1" max="1" width="4.6640625" customWidth="1"/>
    <col min="2" max="2" width="12" customWidth="1"/>
    <col min="3" max="3" width="11" customWidth="1"/>
    <col min="5" max="5" width="9.88671875" customWidth="1"/>
    <col min="6" max="6" width="10.33203125" customWidth="1"/>
    <col min="7" max="7" width="11.6640625" customWidth="1"/>
    <col min="8" max="8" width="11.44140625" customWidth="1"/>
    <col min="9" max="9" width="11.109375" customWidth="1"/>
    <col min="10" max="10" width="10.33203125" customWidth="1"/>
    <col min="11" max="11" width="10.33203125" bestFit="1" customWidth="1"/>
    <col min="13" max="13" width="1.5546875" customWidth="1"/>
    <col min="14" max="14" width="1" customWidth="1"/>
  </cols>
  <sheetData>
    <row r="1" spans="1:67" x14ac:dyDescent="0.3">
      <c r="A1" s="6"/>
      <c r="B1" s="24" t="s">
        <v>0</v>
      </c>
      <c r="C1" s="6"/>
      <c r="D1" s="6"/>
      <c r="E1" s="6"/>
      <c r="F1" s="24" t="s">
        <v>42</v>
      </c>
      <c r="G1" s="6"/>
      <c r="H1" s="5"/>
      <c r="I1" s="6"/>
      <c r="J1" s="24" t="s">
        <v>43</v>
      </c>
      <c r="K1" s="6"/>
      <c r="L1" s="6"/>
      <c r="M1" s="17"/>
      <c r="N1" s="17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</row>
    <row r="2" spans="1:67" x14ac:dyDescent="0.3">
      <c r="M2" s="17"/>
      <c r="N2" s="1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</row>
    <row r="3" spans="1:67" x14ac:dyDescent="0.3">
      <c r="A3" s="4"/>
      <c r="C3" t="s">
        <v>3</v>
      </c>
      <c r="E3" s="3">
        <v>0.05</v>
      </c>
      <c r="F3" s="1"/>
      <c r="M3" s="17"/>
      <c r="N3" s="17"/>
      <c r="O3" s="18"/>
      <c r="P3" s="18" t="s">
        <v>6</v>
      </c>
      <c r="Q3" s="18" t="s">
        <v>10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</row>
    <row r="4" spans="1:67" x14ac:dyDescent="0.3">
      <c r="C4" t="s">
        <v>4</v>
      </c>
      <c r="E4" s="3">
        <v>0.04</v>
      </c>
      <c r="F4" s="1"/>
      <c r="M4" s="17"/>
      <c r="N4" s="17"/>
      <c r="O4" s="18"/>
      <c r="P4" s="18" t="s">
        <v>11</v>
      </c>
      <c r="Q4" s="18" t="s">
        <v>12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</row>
    <row r="5" spans="1:67" x14ac:dyDescent="0.3">
      <c r="C5" t="s">
        <v>5</v>
      </c>
      <c r="E5">
        <v>100</v>
      </c>
      <c r="F5" s="1"/>
      <c r="M5" s="17"/>
      <c r="N5" s="17"/>
      <c r="O5" s="18"/>
      <c r="P5" s="18" t="s">
        <v>13</v>
      </c>
      <c r="Q5" s="18" t="s">
        <v>15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</row>
    <row r="6" spans="1:67" x14ac:dyDescent="0.3">
      <c r="F6" s="1"/>
      <c r="M6" s="17"/>
      <c r="N6" s="1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</row>
    <row r="7" spans="1:67" x14ac:dyDescent="0.3">
      <c r="F7" s="1"/>
      <c r="M7" s="17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</row>
    <row r="8" spans="1:67" x14ac:dyDescent="0.3">
      <c r="F8" s="1"/>
      <c r="M8" s="17"/>
      <c r="N8" s="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</row>
    <row r="9" spans="1:67" x14ac:dyDescent="0.3">
      <c r="A9" t="s">
        <v>41</v>
      </c>
      <c r="F9" s="1"/>
      <c r="M9" s="17"/>
      <c r="N9" s="1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</row>
    <row r="10" spans="1:67" x14ac:dyDescent="0.3">
      <c r="B10" s="4" t="s">
        <v>2</v>
      </c>
      <c r="C10" s="6" t="s">
        <v>1</v>
      </c>
      <c r="D10" s="6" t="s">
        <v>6</v>
      </c>
      <c r="E10" s="6" t="s">
        <v>7</v>
      </c>
      <c r="F10" s="11" t="s">
        <v>8</v>
      </c>
      <c r="G10" s="6" t="s">
        <v>9</v>
      </c>
      <c r="M10" s="17"/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</row>
    <row r="11" spans="1:67" x14ac:dyDescent="0.3">
      <c r="C11">
        <v>1</v>
      </c>
      <c r="D11" s="1">
        <f>E5*E4</f>
        <v>4</v>
      </c>
      <c r="E11" s="7">
        <f>D11/(1+E3)^C11</f>
        <v>3.8095238095238093</v>
      </c>
      <c r="F11" s="9">
        <f>E11/E21</f>
        <v>4.1283002087223311E-2</v>
      </c>
      <c r="G11" s="7">
        <f>F11*C11</f>
        <v>4.1283002087223311E-2</v>
      </c>
      <c r="M11" s="17"/>
      <c r="N11" s="17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</row>
    <row r="12" spans="1:67" x14ac:dyDescent="0.3">
      <c r="C12">
        <v>2</v>
      </c>
      <c r="D12">
        <f>E5*E4</f>
        <v>4</v>
      </c>
      <c r="E12" s="7">
        <f>D12/(1+E3)^C12</f>
        <v>3.6281179138321993</v>
      </c>
      <c r="F12" s="9">
        <f>E12/E21</f>
        <v>3.9317144844974582E-2</v>
      </c>
      <c r="G12" s="7">
        <f t="shared" ref="G12:G20" si="0">F12*C12</f>
        <v>7.8634289689949163E-2</v>
      </c>
      <c r="M12" s="17"/>
      <c r="N12" s="17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</row>
    <row r="13" spans="1:67" x14ac:dyDescent="0.3">
      <c r="C13">
        <v>3</v>
      </c>
      <c r="D13">
        <v>4</v>
      </c>
      <c r="E13" s="7">
        <f>D13/(1+E3)^C13</f>
        <v>3.4553503941259041</v>
      </c>
      <c r="F13" s="9">
        <f>E13/E21</f>
        <v>3.7444899852356744E-2</v>
      </c>
      <c r="G13" s="7">
        <f t="shared" si="0"/>
        <v>0.11233469955707023</v>
      </c>
      <c r="M13" s="17"/>
      <c r="N13" s="17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</row>
    <row r="14" spans="1:67" x14ac:dyDescent="0.3">
      <c r="C14">
        <v>4</v>
      </c>
      <c r="D14">
        <v>4</v>
      </c>
      <c r="E14" s="7">
        <f>D14/(1+E3)^C14</f>
        <v>3.2908098991675279</v>
      </c>
      <c r="F14" s="9">
        <f>E14/E21</f>
        <v>3.56618093831969E-2</v>
      </c>
      <c r="G14" s="7">
        <f t="shared" si="0"/>
        <v>0.1426472375327876</v>
      </c>
      <c r="M14" s="17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</row>
    <row r="15" spans="1:67" x14ac:dyDescent="0.3">
      <c r="C15">
        <v>5</v>
      </c>
      <c r="D15">
        <v>4</v>
      </c>
      <c r="E15" s="7">
        <f>D15/(1+E3)^C15</f>
        <v>3.1341046658738358</v>
      </c>
      <c r="F15" s="9">
        <f>E15/($E21)</f>
        <v>3.3963627983997047E-2</v>
      </c>
      <c r="G15" s="7">
        <f t="shared" si="0"/>
        <v>0.16981813991998523</v>
      </c>
      <c r="M15" s="17"/>
      <c r="N15" s="17"/>
      <c r="O15" s="18"/>
      <c r="P15" s="25"/>
      <c r="Q15" s="25"/>
      <c r="R15" s="25"/>
      <c r="S15" s="25"/>
      <c r="T15" s="25"/>
      <c r="U15" s="25"/>
      <c r="V15" s="25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</row>
    <row r="16" spans="1:67" x14ac:dyDescent="0.3">
      <c r="A16" s="1"/>
      <c r="B16" s="1"/>
      <c r="C16" s="1">
        <v>6</v>
      </c>
      <c r="D16">
        <v>4</v>
      </c>
      <c r="E16" s="7">
        <f>D16/(1+E3)^C16</f>
        <v>2.9848615865465105</v>
      </c>
      <c r="F16" s="9">
        <f>E16/($E21)</f>
        <v>3.2346312365711477E-2</v>
      </c>
      <c r="G16" s="7">
        <f t="shared" si="0"/>
        <v>0.19407787419426886</v>
      </c>
      <c r="H16" s="1"/>
      <c r="I16" s="1"/>
      <c r="J16" s="1"/>
      <c r="K16" s="1"/>
      <c r="M16" s="17"/>
      <c r="N16" s="1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</row>
    <row r="17" spans="1:67" x14ac:dyDescent="0.3">
      <c r="C17">
        <v>7</v>
      </c>
      <c r="D17">
        <v>4</v>
      </c>
      <c r="E17" s="7">
        <f>D17/(1+E3)^C17</f>
        <v>2.8427253205204859</v>
      </c>
      <c r="F17" s="9">
        <f>E17/E21</f>
        <v>3.0806011776868071E-2</v>
      </c>
      <c r="G17" s="7">
        <f t="shared" si="0"/>
        <v>0.2156420824380765</v>
      </c>
      <c r="L17" s="23"/>
      <c r="M17" s="19"/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</row>
    <row r="18" spans="1:67" x14ac:dyDescent="0.3">
      <c r="C18">
        <v>8</v>
      </c>
      <c r="D18">
        <v>4</v>
      </c>
      <c r="E18" s="7">
        <f>D18/(1+E3)^C18</f>
        <v>2.7073574481147489</v>
      </c>
      <c r="F18" s="9">
        <f>E18/E21</f>
        <v>2.9339058835112453E-2</v>
      </c>
      <c r="G18" s="7">
        <f t="shared" si="0"/>
        <v>0.23471247068089962</v>
      </c>
      <c r="L18" s="23"/>
      <c r="M18" s="19"/>
      <c r="N18" s="17"/>
      <c r="O18" s="18"/>
      <c r="P18" s="26"/>
      <c r="Q18" s="26"/>
      <c r="R18" s="26"/>
      <c r="S18" s="26"/>
      <c r="T18" s="26"/>
      <c r="U18" s="26"/>
      <c r="V18" s="26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</row>
    <row r="19" spans="1:67" x14ac:dyDescent="0.3">
      <c r="C19">
        <v>9</v>
      </c>
      <c r="D19">
        <v>4</v>
      </c>
      <c r="E19" s="7">
        <f>D19/(1+E3)^C19</f>
        <v>2.578435664871189</v>
      </c>
      <c r="F19" s="9">
        <f>E19/E21</f>
        <v>2.7941960795345187E-2</v>
      </c>
      <c r="G19" s="7">
        <f t="shared" si="0"/>
        <v>0.25147764715810667</v>
      </c>
      <c r="H19" s="2"/>
      <c r="I19" s="2"/>
      <c r="J19" s="2"/>
      <c r="K19" s="2"/>
      <c r="L19" s="23"/>
      <c r="M19" s="19"/>
      <c r="N19" s="17"/>
      <c r="O19" s="18"/>
      <c r="P19" s="26"/>
      <c r="Q19" s="26"/>
      <c r="R19" s="26"/>
      <c r="S19" s="26"/>
      <c r="T19" s="26"/>
      <c r="U19" s="26"/>
      <c r="V19" s="26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</row>
    <row r="20" spans="1:67" x14ac:dyDescent="0.3">
      <c r="C20">
        <v>10</v>
      </c>
      <c r="D20">
        <v>104</v>
      </c>
      <c r="E20" s="7">
        <f>D20/(1+E3)^C20</f>
        <v>63.846978368238972</v>
      </c>
      <c r="F20" s="9">
        <f>E20/E21</f>
        <v>0.69189617207521426</v>
      </c>
      <c r="G20" s="7">
        <f t="shared" si="0"/>
        <v>6.9189617207521428</v>
      </c>
      <c r="H20" s="2"/>
      <c r="I20" s="2"/>
      <c r="J20" s="2"/>
      <c r="K20" s="2"/>
      <c r="L20" s="23"/>
      <c r="M20" s="19"/>
      <c r="N20" s="17"/>
      <c r="O20" s="18"/>
      <c r="P20" s="25"/>
      <c r="Q20" s="25"/>
      <c r="R20" s="25"/>
      <c r="S20" s="25"/>
      <c r="T20" s="25"/>
      <c r="U20" s="25"/>
      <c r="V20" s="25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</row>
    <row r="21" spans="1:67" x14ac:dyDescent="0.3">
      <c r="B21" s="4" t="s">
        <v>14</v>
      </c>
      <c r="E21" s="7">
        <f>SUM(E11:E20)</f>
        <v>92.278265070815181</v>
      </c>
      <c r="F21" s="2"/>
      <c r="G21" s="7">
        <f>SUM(G11:G20)</f>
        <v>8.3595891640105098</v>
      </c>
      <c r="H21" s="2" t="s">
        <v>18</v>
      </c>
      <c r="I21" s="2"/>
      <c r="J21" s="2"/>
      <c r="K21" s="2"/>
      <c r="L21" s="23"/>
      <c r="M21" s="19"/>
      <c r="N21" s="17"/>
      <c r="O21" s="18"/>
      <c r="P21" s="25"/>
      <c r="Q21" s="25"/>
      <c r="R21" s="25"/>
      <c r="S21" s="25"/>
      <c r="T21" s="25"/>
      <c r="U21" s="25"/>
      <c r="V21" s="25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</row>
    <row r="22" spans="1:67" x14ac:dyDescent="0.3">
      <c r="F22" s="2"/>
      <c r="G22" s="2"/>
      <c r="H22" s="2"/>
      <c r="I22" s="2"/>
      <c r="J22" s="2"/>
      <c r="K22" s="2"/>
      <c r="L22" s="23"/>
      <c r="M22" s="19"/>
      <c r="N22" s="17"/>
      <c r="O22" s="18"/>
      <c r="P22" s="25"/>
      <c r="Q22" s="25"/>
      <c r="R22" s="25"/>
      <c r="S22" s="25"/>
      <c r="T22" s="25"/>
      <c r="U22" s="25"/>
      <c r="V22" s="25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</row>
    <row r="23" spans="1:67" x14ac:dyDescent="0.3">
      <c r="A23" s="1"/>
      <c r="B23" s="1"/>
      <c r="C23" s="1"/>
      <c r="F23" s="1"/>
      <c r="G23" s="1"/>
      <c r="H23" s="1"/>
      <c r="I23" s="1"/>
      <c r="J23" s="1"/>
      <c r="K23" s="1"/>
      <c r="L23" s="23"/>
      <c r="M23" s="19"/>
      <c r="N23" s="17"/>
      <c r="O23" s="18"/>
      <c r="P23" s="25" t="s">
        <v>37</v>
      </c>
      <c r="Q23" s="25" t="s">
        <v>38</v>
      </c>
      <c r="R23" s="25"/>
      <c r="S23" s="25" t="s">
        <v>39</v>
      </c>
      <c r="T23" s="25"/>
      <c r="U23" s="25"/>
      <c r="V23" s="25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</row>
    <row r="24" spans="1:67" x14ac:dyDescent="0.3">
      <c r="B24" t="s">
        <v>16</v>
      </c>
      <c r="C24">
        <v>8.36</v>
      </c>
      <c r="E24" t="s">
        <v>19</v>
      </c>
      <c r="F24" s="1"/>
      <c r="G24" s="1"/>
      <c r="H24" s="1"/>
      <c r="I24" s="1"/>
      <c r="J24" s="1"/>
      <c r="K24" s="1"/>
      <c r="L24" s="23"/>
      <c r="M24" s="19"/>
      <c r="N24" s="17"/>
      <c r="O24" s="18"/>
      <c r="P24" s="18" t="s">
        <v>36</v>
      </c>
      <c r="Q24" s="25"/>
      <c r="R24" s="25"/>
      <c r="S24" s="25" t="s">
        <v>40</v>
      </c>
      <c r="T24" s="25"/>
      <c r="U24" s="25"/>
      <c r="V24" s="25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</row>
    <row r="25" spans="1:67" x14ac:dyDescent="0.3">
      <c r="B25" t="s">
        <v>17</v>
      </c>
      <c r="C25">
        <v>78.290000000000006</v>
      </c>
      <c r="F25" s="1"/>
      <c r="G25" s="1"/>
      <c r="H25" s="1"/>
      <c r="I25" s="1"/>
      <c r="J25" s="1"/>
      <c r="K25" s="1"/>
      <c r="L25" s="23"/>
      <c r="M25" s="19"/>
      <c r="N25" s="17"/>
      <c r="O25" s="18"/>
      <c r="P25" s="25"/>
      <c r="Q25" s="25"/>
      <c r="R25" s="25"/>
      <c r="S25" s="25"/>
      <c r="T25" s="25"/>
      <c r="U25" s="25"/>
      <c r="V25" s="25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</row>
    <row r="26" spans="1:67" x14ac:dyDescent="0.3">
      <c r="B26" t="s">
        <v>36</v>
      </c>
      <c r="C26" s="7">
        <f>C24/(1+C35)</f>
        <v>7.9619047619047612</v>
      </c>
      <c r="F26" s="1"/>
      <c r="G26" s="1"/>
      <c r="H26" s="1"/>
      <c r="I26" s="1"/>
      <c r="J26" s="1"/>
      <c r="K26" s="1"/>
      <c r="L26" s="23"/>
      <c r="M26" s="19"/>
      <c r="N26" s="17"/>
      <c r="O26" s="18"/>
      <c r="P26" s="25"/>
      <c r="Q26" s="25"/>
      <c r="R26" s="25"/>
      <c r="S26" s="25"/>
      <c r="T26" s="25"/>
      <c r="U26" s="25"/>
      <c r="V26" s="25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</row>
    <row r="27" spans="1:67" x14ac:dyDescent="0.3">
      <c r="F27" s="1"/>
      <c r="G27" s="1" t="s">
        <v>26</v>
      </c>
      <c r="H27" s="1" t="s">
        <v>27</v>
      </c>
      <c r="I27" s="1"/>
      <c r="J27" s="7"/>
      <c r="K27" s="1"/>
      <c r="L27" s="23"/>
      <c r="M27" s="19"/>
      <c r="N27" s="17"/>
      <c r="O27" s="18"/>
      <c r="P27" s="25" t="s">
        <v>20</v>
      </c>
      <c r="Q27" s="25"/>
      <c r="R27" s="25"/>
      <c r="S27" s="25" t="s">
        <v>25</v>
      </c>
      <c r="T27" s="25"/>
      <c r="U27" s="25"/>
      <c r="V27" s="25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</row>
    <row r="28" spans="1:67" x14ac:dyDescent="0.3">
      <c r="C28" s="6" t="s">
        <v>3</v>
      </c>
      <c r="D28" s="6" t="s">
        <v>20</v>
      </c>
      <c r="E28" s="6" t="s">
        <v>23</v>
      </c>
      <c r="F28" s="11" t="s">
        <v>24</v>
      </c>
      <c r="G28" s="11" t="s">
        <v>17</v>
      </c>
      <c r="H28" s="11" t="s">
        <v>22</v>
      </c>
      <c r="I28" s="11" t="s">
        <v>21</v>
      </c>
      <c r="J28" s="7" t="s">
        <v>32</v>
      </c>
      <c r="L28" s="23"/>
      <c r="M28" s="19"/>
      <c r="N28" s="17"/>
      <c r="O28" s="18"/>
      <c r="P28" s="25" t="s">
        <v>23</v>
      </c>
      <c r="Q28" s="25"/>
      <c r="R28" s="25"/>
      <c r="S28" s="27" t="s">
        <v>31</v>
      </c>
      <c r="T28" s="27"/>
      <c r="U28" s="27"/>
      <c r="V28" s="27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</row>
    <row r="29" spans="1:67" x14ac:dyDescent="0.3">
      <c r="C29" s="8">
        <v>0.03</v>
      </c>
      <c r="D29" s="7">
        <f>-PV(C29,C20,E4*E5,E5)</f>
        <v>108.53020283677583</v>
      </c>
      <c r="E29" s="7"/>
      <c r="F29" s="1"/>
      <c r="G29" s="1"/>
      <c r="H29" s="12">
        <f>(1+(-C24*(C29-C35)))*H35</f>
        <v>107.709216</v>
      </c>
      <c r="I29" s="7">
        <f>(1+(-$C$24*(C29-$C$35))+(0.5*$C$25*(C29-$C$35)^2))*$H$35</f>
        <v>109.15413624</v>
      </c>
      <c r="J29" s="7"/>
      <c r="K29" s="1"/>
      <c r="L29" s="23"/>
      <c r="M29" s="19"/>
      <c r="N29" s="17"/>
      <c r="O29" s="18"/>
      <c r="P29" s="25" t="s">
        <v>24</v>
      </c>
      <c r="Q29" s="25"/>
      <c r="R29" s="25"/>
      <c r="S29" s="25" t="s">
        <v>30</v>
      </c>
      <c r="T29" s="18"/>
      <c r="U29" s="25"/>
      <c r="V29" s="25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</row>
    <row r="30" spans="1:67" x14ac:dyDescent="0.3">
      <c r="C30" s="8">
        <v>3.4000000000000002E-2</v>
      </c>
      <c r="D30" s="7">
        <f>-PV(C30,C20,E4*E5,E5)</f>
        <v>105.01520923458301</v>
      </c>
      <c r="E30" s="7">
        <f>(D30-D29)/(C30-C29)</f>
        <v>-878.74840054820345</v>
      </c>
      <c r="F30" s="10">
        <f>(E31-E30)/(C31-C30)</f>
        <v>8639.7261136315901</v>
      </c>
      <c r="G30" s="7">
        <f>F30/D30</f>
        <v>82.271188874481666</v>
      </c>
      <c r="H30" s="12">
        <f>(1+(-C24*(C30-C35)))*H35</f>
        <v>104.62337280000001</v>
      </c>
      <c r="I30" s="7">
        <f>(1+(-$C$24*(C30-$C$35))+(0.5*$C$25*(C30-$C$35)^2))*$H$35</f>
        <v>105.54812175360001</v>
      </c>
      <c r="J30" s="7"/>
      <c r="K30" s="1"/>
      <c r="L30" s="23"/>
      <c r="M30" s="19"/>
      <c r="N30" s="17"/>
      <c r="O30" s="18"/>
      <c r="P30" s="25" t="s">
        <v>34</v>
      </c>
      <c r="Q30" s="25"/>
      <c r="R30" s="25"/>
      <c r="S30" s="25" t="s">
        <v>28</v>
      </c>
      <c r="T30" s="25"/>
      <c r="U30" s="25"/>
      <c r="V30" s="25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</row>
    <row r="31" spans="1:67" x14ac:dyDescent="0.3">
      <c r="C31" s="8">
        <v>3.7999999999999999E-2</v>
      </c>
      <c r="D31" s="7">
        <f>-PV(C31,C20,E5*E4,E5)</f>
        <v>101.63845125020831</v>
      </c>
      <c r="E31" s="7">
        <f>(D31-D30)/(C31-C30)</f>
        <v>-844.18949609367712</v>
      </c>
      <c r="F31" s="1"/>
      <c r="G31" s="3"/>
      <c r="H31" s="12">
        <f>(1+(-C24*(C31-C35)))*H35</f>
        <v>101.5375296</v>
      </c>
      <c r="I31" s="7">
        <f t="shared" ref="I31:I41" si="1">(1+(-$C$24*(C31-$C$35))+(0.5*$C$25*(C31-$C$35)^2))*$H$35</f>
        <v>102.0577008864</v>
      </c>
      <c r="J31" s="7"/>
      <c r="K31" s="1"/>
      <c r="L31" s="23"/>
      <c r="M31" s="19"/>
      <c r="N31" s="17"/>
      <c r="O31" s="18"/>
      <c r="P31" s="25" t="s">
        <v>22</v>
      </c>
      <c r="Q31" s="25"/>
      <c r="R31" s="25"/>
      <c r="S31" s="25" t="s">
        <v>33</v>
      </c>
      <c r="T31" s="25"/>
      <c r="U31" s="25"/>
      <c r="V31" s="25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</row>
    <row r="32" spans="1:67" x14ac:dyDescent="0.3">
      <c r="C32" s="8">
        <v>4.2000000000000003E-2</v>
      </c>
      <c r="D32" s="7">
        <f>-PV(C32,C20,E4*E5,E5)</f>
        <v>98.393851957647428</v>
      </c>
      <c r="E32" s="7"/>
      <c r="F32" s="1"/>
      <c r="G32" s="3"/>
      <c r="H32" s="12">
        <f>(1+(-C24*(C32-C35)))*H35</f>
        <v>98.4516864</v>
      </c>
      <c r="I32" s="7">
        <f t="shared" si="1"/>
        <v>98.682873638400011</v>
      </c>
      <c r="J32" s="7"/>
      <c r="K32" s="1"/>
      <c r="L32" s="23"/>
      <c r="M32" s="19"/>
      <c r="N32" s="17"/>
      <c r="O32" s="18"/>
      <c r="P32" s="25" t="s">
        <v>21</v>
      </c>
      <c r="Q32" s="25"/>
      <c r="R32" s="25"/>
      <c r="S32" s="25" t="s">
        <v>35</v>
      </c>
      <c r="T32" s="25"/>
      <c r="U32" s="25"/>
      <c r="V32" s="25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</row>
    <row r="33" spans="1:67" x14ac:dyDescent="0.3">
      <c r="C33" s="8">
        <v>4.5999999999999999E-2</v>
      </c>
      <c r="D33" s="7">
        <f>-PV(C33,C20,E4*E5,E5)</f>
        <v>95.275626118261528</v>
      </c>
      <c r="E33" s="7"/>
      <c r="F33" s="1"/>
      <c r="G33" s="3"/>
      <c r="H33" s="12">
        <f>(1+(-C24*(C33-C39)))*H35</f>
        <v>104.62337280000001</v>
      </c>
      <c r="I33" s="7">
        <f t="shared" si="1"/>
        <v>95.423640009600021</v>
      </c>
      <c r="J33" s="7"/>
      <c r="K33" s="1"/>
      <c r="L33" s="23"/>
      <c r="M33" s="19"/>
      <c r="N33" s="17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</row>
    <row r="34" spans="1:67" x14ac:dyDescent="0.3">
      <c r="C34" s="8">
        <v>4.99E-2</v>
      </c>
      <c r="D34" s="7">
        <f>-PV(C34,C20,E4*E5,E5)</f>
        <v>92.351768673648522</v>
      </c>
      <c r="E34" s="7"/>
      <c r="F34" s="1"/>
      <c r="G34" s="3"/>
      <c r="H34" s="12">
        <f>(1+(-C24*(C34-C39)))*H35</f>
        <v>101.61467568</v>
      </c>
      <c r="I34" s="7">
        <f t="shared" si="1"/>
        <v>92.357182203006005</v>
      </c>
      <c r="J34" s="7"/>
      <c r="K34" s="1"/>
      <c r="L34" s="23"/>
      <c r="M34" s="19"/>
      <c r="N34" s="17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</row>
    <row r="35" spans="1:67" x14ac:dyDescent="0.3">
      <c r="C35" s="13">
        <v>0.05</v>
      </c>
      <c r="D35" s="14">
        <f>-PV(C35,C20,E4*E5,E5)</f>
        <v>92.278265070815181</v>
      </c>
      <c r="E35" s="14">
        <f t="shared" ref="E35:E36" si="2">(D35-D34)/(C35-C34)</f>
        <v>-735.03602833339016</v>
      </c>
      <c r="F35" s="15">
        <f>(E36-E35)/(C36-C35)</f>
        <v>7224.8576524342061</v>
      </c>
      <c r="G35" s="14">
        <f>F35/D35</f>
        <v>78.294251055649823</v>
      </c>
      <c r="H35" s="16">
        <v>92.28</v>
      </c>
      <c r="I35" s="14">
        <f t="shared" si="1"/>
        <v>92.28</v>
      </c>
      <c r="J35" s="7"/>
      <c r="K35" s="7"/>
      <c r="L35" s="23"/>
      <c r="M35" s="19"/>
      <c r="N35" s="17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</row>
    <row r="36" spans="1:67" x14ac:dyDescent="0.3">
      <c r="C36" s="8">
        <v>5.0099999999999999E-2</v>
      </c>
      <c r="D36" s="7">
        <f>-PV(C36,C20,E4*E5,E5)</f>
        <v>92.204833716558369</v>
      </c>
      <c r="E36" s="7">
        <f t="shared" si="2"/>
        <v>-734.31354256814677</v>
      </c>
      <c r="F36" s="7"/>
      <c r="G36" s="3"/>
      <c r="H36" s="12">
        <f>(1+(-C24*(C36-C35)))*H35</f>
        <v>92.20285392000001</v>
      </c>
      <c r="I36" s="7">
        <f t="shared" si="1"/>
        <v>92.202890043006008</v>
      </c>
      <c r="J36" s="7"/>
      <c r="K36" s="7"/>
      <c r="L36" s="23"/>
      <c r="M36" s="19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</row>
    <row r="37" spans="1:67" x14ac:dyDescent="0.3">
      <c r="C37" s="8">
        <v>5.3999999999999999E-2</v>
      </c>
      <c r="D37" s="7">
        <f>-PV(C37,C20,E5*E4,E5)</f>
        <v>89.396522459854253</v>
      </c>
      <c r="E37" s="7"/>
      <c r="F37" s="1"/>
      <c r="G37" s="3"/>
      <c r="H37" s="12">
        <f>(1+(-C24*(C37-C38)))*H35</f>
        <v>95.365843200000015</v>
      </c>
      <c r="I37" s="7">
        <f t="shared" si="1"/>
        <v>89.251953609600008</v>
      </c>
      <c r="J37" s="7"/>
      <c r="K37" s="1"/>
      <c r="M37" s="17"/>
      <c r="N37" s="1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</row>
    <row r="38" spans="1:67" x14ac:dyDescent="0.3">
      <c r="C38" s="8">
        <v>5.8000000000000003E-2</v>
      </c>
      <c r="D38" s="7">
        <f>-PV(C38,C20,E4*E5,E5)</f>
        <v>86.625400752888211</v>
      </c>
      <c r="E38" s="7"/>
      <c r="G38" s="3"/>
      <c r="H38" s="12">
        <f>(1+(-C24*(C38-C39)))*H35</f>
        <v>95.365843199999986</v>
      </c>
      <c r="I38" s="7">
        <f t="shared" si="1"/>
        <v>86.339500838399999</v>
      </c>
      <c r="J38" s="7"/>
      <c r="M38" s="17"/>
      <c r="N38" s="1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</row>
    <row r="39" spans="1:67" x14ac:dyDescent="0.3">
      <c r="C39" s="8">
        <v>6.2E-2</v>
      </c>
      <c r="D39" s="7">
        <f>-PV(C39,C20,E4*E5,E5)</f>
        <v>83.960138499945216</v>
      </c>
      <c r="E39" s="7">
        <f t="shared" ref="E39:E40" si="3">(D39-D38)/(C39-C38)</f>
        <v>-666.31556323574921</v>
      </c>
      <c r="F39" s="10">
        <f>(E40-E39)/(C40-C39)</f>
        <v>6332.6278101787866</v>
      </c>
      <c r="G39" s="7">
        <f>F39/D39</f>
        <v>75.424218245934867</v>
      </c>
      <c r="H39" s="12">
        <f>(1+(-C24*(C39-C35)))*H35</f>
        <v>83.022470400000003</v>
      </c>
      <c r="I39" s="7">
        <f t="shared" si="1"/>
        <v>83.542641686400003</v>
      </c>
      <c r="J39" s="7"/>
      <c r="M39" s="17"/>
      <c r="N39" s="1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</row>
    <row r="40" spans="1:67" x14ac:dyDescent="0.3">
      <c r="C40" s="8">
        <v>6.6000000000000003E-2</v>
      </c>
      <c r="D40" s="7">
        <f>-PV(C40,C20,E4*E5,E5)</f>
        <v>81.396198291965078</v>
      </c>
      <c r="E40" s="7">
        <f t="shared" si="3"/>
        <v>-640.98505199503404</v>
      </c>
      <c r="G40" s="3"/>
      <c r="H40" s="7">
        <f>(1+(-C24*(C40-C35)))*H35</f>
        <v>79.936627200000004</v>
      </c>
      <c r="I40" s="7">
        <f t="shared" si="1"/>
        <v>80.861376153600006</v>
      </c>
      <c r="J40" s="7"/>
      <c r="M40" s="17"/>
      <c r="N40" s="1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</row>
    <row r="41" spans="1:67" x14ac:dyDescent="0.3">
      <c r="C41" s="3">
        <v>7.0000000000000007E-2</v>
      </c>
      <c r="D41" s="7">
        <f>-PV(C41,C20,E4*E5,E5)</f>
        <v>78.929255377202196</v>
      </c>
      <c r="E41" s="3"/>
      <c r="F41" s="3"/>
      <c r="G41" s="3"/>
      <c r="H41" s="7">
        <f>(1+(-C24*(C41-C35)))*H35</f>
        <v>76.850784000000004</v>
      </c>
      <c r="I41" s="7">
        <f t="shared" si="1"/>
        <v>78.295704240000006</v>
      </c>
      <c r="J41" s="7"/>
      <c r="K41" s="3"/>
      <c r="M41" s="17"/>
      <c r="N41" s="1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</row>
    <row r="42" spans="1:67" x14ac:dyDescent="0.3">
      <c r="D42" s="3"/>
      <c r="E42" s="3"/>
      <c r="F42" s="3"/>
      <c r="G42" s="3"/>
      <c r="H42" s="7"/>
      <c r="I42" s="7"/>
      <c r="J42" s="7"/>
      <c r="K42" s="3"/>
      <c r="M42" s="17"/>
      <c r="N42" s="17"/>
      <c r="O42" s="18"/>
      <c r="P42" s="18"/>
      <c r="Q42" t="s">
        <v>29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</row>
    <row r="43" spans="1:67" x14ac:dyDescent="0.3">
      <c r="D43" s="1"/>
      <c r="E43" s="1"/>
      <c r="F43" s="1"/>
      <c r="G43" s="1"/>
      <c r="H43" s="1"/>
      <c r="I43" s="1"/>
      <c r="J43" s="1"/>
      <c r="K43" s="1"/>
      <c r="M43" s="17"/>
      <c r="N43" s="1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</row>
    <row r="44" spans="1:67" x14ac:dyDescent="0.3">
      <c r="D44" s="1"/>
      <c r="E44" s="1"/>
      <c r="F44" s="1"/>
      <c r="G44" s="1"/>
      <c r="H44" s="1"/>
      <c r="I44" s="1"/>
      <c r="J44" s="1"/>
      <c r="K44" s="1"/>
      <c r="M44" s="17"/>
      <c r="N44" s="1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</row>
    <row r="45" spans="1:67" x14ac:dyDescent="0.3">
      <c r="M45" s="17"/>
      <c r="N45" s="17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67" x14ac:dyDescent="0.3">
      <c r="M46" s="17"/>
      <c r="N46" s="1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67" ht="6.7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67" x14ac:dyDescent="0.3">
      <c r="A48" s="18"/>
      <c r="B48" s="18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1:67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</row>
    <row r="50" spans="1:67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</row>
    <row r="51" spans="1:67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</row>
    <row r="52" spans="1:67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</row>
    <row r="53" spans="1:67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</row>
    <row r="54" spans="1:67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</row>
    <row r="55" spans="1:67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</row>
    <row r="56" spans="1:67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</row>
    <row r="57" spans="1:67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</row>
    <row r="58" spans="1:67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</row>
    <row r="59" spans="1:67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</row>
    <row r="60" spans="1:67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</row>
    <row r="61" spans="1:67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</row>
    <row r="62" spans="1:67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</row>
    <row r="63" spans="1:67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</row>
    <row r="64" spans="1:67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</row>
    <row r="65" spans="1:67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</row>
    <row r="66" spans="1:67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</row>
    <row r="67" spans="1:67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</row>
    <row r="68" spans="1:67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</row>
    <row r="69" spans="1:67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</row>
    <row r="70" spans="1:67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</row>
    <row r="71" spans="1:67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</row>
    <row r="72" spans="1:67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</row>
    <row r="73" spans="1:67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</row>
    <row r="74" spans="1:67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</row>
    <row r="75" spans="1:67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</row>
    <row r="76" spans="1:67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</row>
    <row r="77" spans="1:67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</row>
    <row r="78" spans="1:67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</row>
    <row r="79" spans="1:67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</row>
    <row r="80" spans="1:67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</row>
    <row r="81" spans="1:67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</row>
    <row r="82" spans="1:67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</row>
    <row r="83" spans="1:67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</row>
    <row r="84" spans="1:67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</row>
    <row r="85" spans="1:67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</row>
    <row r="86" spans="1:67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</row>
    <row r="87" spans="1:67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spans="1:67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1:67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67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1:67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67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67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67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67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67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1:15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 spans="1:15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1:15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spans="1:15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1:15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spans="1:15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spans="1:15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1:15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1:15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 spans="1:15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spans="1:15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 spans="1:15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spans="1:15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 spans="1:15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 spans="1:15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spans="1:15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 spans="1:15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spans="1:15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spans="1:15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 spans="1:15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spans="1:15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spans="1:15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spans="1:15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spans="1:15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spans="1:15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 spans="1:15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 spans="1:15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 spans="1:15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1:15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spans="1:15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 spans="1:15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spans="1:15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 spans="1:15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 spans="1:15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 spans="1:15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spans="1:15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 spans="1:15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 spans="1:15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spans="1:15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 spans="1:15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spans="1:15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 spans="1:15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spans="1:15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spans="1:15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spans="1:15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spans="1:15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spans="1:15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spans="1:15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 spans="1:15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spans="1:15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 spans="1:15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 spans="1:15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 spans="1:15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 spans="1:15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spans="1:15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spans="1:15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spans="1:15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spans="1:15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1:15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1:15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spans="1:15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spans="1:15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spans="1:15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spans="1:15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spans="1:15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spans="1:15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spans="1:15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spans="1:15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spans="1:15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spans="1:15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spans="1:15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spans="1:15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spans="1:15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spans="1:15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spans="1:15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spans="1:15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spans="1:15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spans="1:15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spans="1:15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spans="1:15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spans="1:15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spans="1:15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spans="1:15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spans="1:15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spans="1:15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spans="1:15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spans="1:15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spans="1:15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spans="1:15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spans="1:15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spans="1:15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spans="1:15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spans="1:15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spans="1:15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spans="1:15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 spans="1:15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 spans="1:15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spans="1:15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 spans="1:15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 spans="1:15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spans="1:15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spans="1:15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spans="1:15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spans="1:15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spans="1:15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spans="1:15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spans="1:15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spans="1:15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spans="1:15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spans="1:15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spans="1:15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spans="1:15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spans="1:15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spans="1:15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spans="1:15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spans="1:15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spans="1:15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spans="1:15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spans="1:15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spans="1:15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spans="1:15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spans="1:15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spans="1:15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 spans="1:15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 spans="1:15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 spans="1:15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 spans="1:15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spans="1:15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 spans="1:15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spans="1:15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 spans="1:15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 spans="1:15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 spans="1:15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 spans="1:15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spans="1:15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 spans="1:15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 spans="1:15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 spans="1:15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 spans="1:15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spans="1:15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 spans="1:15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 spans="1:15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 spans="1:15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 spans="1:15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 spans="1:15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 spans="1:15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spans="1:15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 spans="1:15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 spans="1:15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 spans="1:15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 spans="1:15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spans="1:15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 spans="1:15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 spans="1:15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 spans="1:15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 spans="1:15" x14ac:dyDescent="0.3">
      <c r="L298" s="18"/>
      <c r="M298" s="18"/>
      <c r="N298" s="18"/>
      <c r="O298" s="18"/>
    </row>
    <row r="299" spans="1:15" x14ac:dyDescent="0.3">
      <c r="L299" s="18"/>
      <c r="M299" s="18"/>
      <c r="N299" s="18"/>
      <c r="O299" s="18"/>
    </row>
    <row r="300" spans="1:15" x14ac:dyDescent="0.3">
      <c r="L300" s="18"/>
      <c r="M300" s="18"/>
      <c r="N300" s="18"/>
      <c r="O300" s="18"/>
    </row>
    <row r="301" spans="1:15" x14ac:dyDescent="0.3">
      <c r="L301" s="18"/>
      <c r="M301" s="18"/>
      <c r="N301" s="18"/>
      <c r="O30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2025-12-31T20:22:19Z</dcterms:created>
  <dcterms:modified xsi:type="dcterms:W3CDTF">2026-01-24T20:30:45Z</dcterms:modified>
</cp:coreProperties>
</file>