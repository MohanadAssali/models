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odels\JWN_LBO\"/>
    </mc:Choice>
  </mc:AlternateContent>
  <xr:revisionPtr revIDLastSave="0" documentId="13_ncr:1_{AB981B58-5E49-4178-BBBA-8C4E1D87CEC7}" xr6:coauthVersionLast="47" xr6:coauthVersionMax="47" xr10:uidLastSave="{00000000-0000-0000-0000-000000000000}"/>
  <bookViews>
    <workbookView xWindow="-28920" yWindow="660" windowWidth="29040" windowHeight="15720" xr2:uid="{9D88036A-098D-4CCA-9F8E-59E01D5E3A23}"/>
  </bookViews>
  <sheets>
    <sheet name="LBO" sheetId="3" r:id="rId1"/>
  </sheets>
  <externalReferences>
    <externalReference r:id="rId2"/>
  </externalReferences>
  <definedNames>
    <definedName name="CASE">[1]LBO!$E$7</definedName>
    <definedName name="CIRC">[1]LBO!$E$6</definedName>
    <definedName name="PIK">[1]LBO!$E$8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2" i="3" l="1"/>
  <c r="J151" i="3"/>
  <c r="J147" i="3"/>
  <c r="J145" i="3"/>
  <c r="J146" i="3"/>
  <c r="J141" i="3"/>
  <c r="E137" i="3"/>
  <c r="J136" i="3"/>
  <c r="I136" i="3"/>
  <c r="H136" i="3"/>
  <c r="G136" i="3"/>
  <c r="F136" i="3"/>
  <c r="J134" i="3"/>
  <c r="I134" i="3"/>
  <c r="H134" i="3"/>
  <c r="G134" i="3"/>
  <c r="F134" i="3"/>
  <c r="G129" i="3"/>
  <c r="H129" i="3"/>
  <c r="F129" i="3"/>
  <c r="F135" i="3" s="1"/>
  <c r="J125" i="3"/>
  <c r="J137" i="3" s="1"/>
  <c r="J144" i="3" s="1"/>
  <c r="I125" i="3"/>
  <c r="I137" i="3" s="1"/>
  <c r="H125" i="3"/>
  <c r="H137" i="3" s="1"/>
  <c r="G125" i="3"/>
  <c r="G137" i="3" s="1"/>
  <c r="F125" i="3"/>
  <c r="F137" i="3" s="1"/>
  <c r="J123" i="3"/>
  <c r="I123" i="3"/>
  <c r="H123" i="3"/>
  <c r="G123" i="3"/>
  <c r="F123" i="3"/>
  <c r="E113" i="3"/>
  <c r="J112" i="3"/>
  <c r="I112" i="3"/>
  <c r="H112" i="3"/>
  <c r="G112" i="3"/>
  <c r="F112" i="3"/>
  <c r="E112" i="3"/>
  <c r="J111" i="3"/>
  <c r="I111" i="3"/>
  <c r="H111" i="3"/>
  <c r="G111" i="3"/>
  <c r="F111" i="3"/>
  <c r="E111" i="3"/>
  <c r="E84" i="3"/>
  <c r="F84" i="3" s="1"/>
  <c r="J81" i="3"/>
  <c r="J86" i="3" s="1"/>
  <c r="I81" i="3"/>
  <c r="I86" i="3" s="1"/>
  <c r="I89" i="3" s="1"/>
  <c r="I92" i="3" s="1"/>
  <c r="I110" i="3" s="1"/>
  <c r="H81" i="3"/>
  <c r="H86" i="3" s="1"/>
  <c r="H89" i="3" s="1"/>
  <c r="H92" i="3" s="1"/>
  <c r="H110" i="3" s="1"/>
  <c r="G81" i="3"/>
  <c r="F81" i="3"/>
  <c r="E81" i="3"/>
  <c r="E101" i="3"/>
  <c r="E106" i="3"/>
  <c r="E99" i="3"/>
  <c r="E79" i="3"/>
  <c r="F75" i="3"/>
  <c r="G75" i="3" s="1"/>
  <c r="G79" i="3" s="1"/>
  <c r="G55" i="3"/>
  <c r="F55" i="3"/>
  <c r="G63" i="3"/>
  <c r="F62" i="3"/>
  <c r="G62" i="3" s="1"/>
  <c r="G65" i="3"/>
  <c r="G64" i="3"/>
  <c r="F61" i="3"/>
  <c r="G61" i="3" s="1"/>
  <c r="F51" i="3"/>
  <c r="G51" i="3"/>
  <c r="G57" i="3" s="1"/>
  <c r="J142" i="3" s="1"/>
  <c r="F11" i="3"/>
  <c r="F14" i="3"/>
  <c r="H135" i="3" l="1"/>
  <c r="G135" i="3"/>
  <c r="J143" i="3"/>
  <c r="J129" i="3"/>
  <c r="J135" i="3" s="1"/>
  <c r="I129" i="3"/>
  <c r="I135" i="3" s="1"/>
  <c r="F82" i="3"/>
  <c r="G101" i="3"/>
  <c r="F79" i="3"/>
  <c r="F57" i="3"/>
  <c r="H54" i="3" s="1"/>
  <c r="E86" i="3"/>
  <c r="E87" i="3" s="1"/>
  <c r="F101" i="3"/>
  <c r="F103" i="3" s="1"/>
  <c r="F113" i="3" s="1"/>
  <c r="F86" i="3"/>
  <c r="F89" i="3" s="1"/>
  <c r="F92" i="3" s="1"/>
  <c r="F110" i="3" s="1"/>
  <c r="F99" i="3"/>
  <c r="F106" i="3"/>
  <c r="G99" i="3"/>
  <c r="G106" i="3"/>
  <c r="E82" i="3"/>
  <c r="H75" i="3"/>
  <c r="G82" i="3"/>
  <c r="J89" i="3"/>
  <c r="J92" i="3" s="1"/>
  <c r="J110" i="3" s="1"/>
  <c r="G67" i="3"/>
  <c r="F67" i="3"/>
  <c r="H50" i="3" l="1"/>
  <c r="H53" i="3"/>
  <c r="F114" i="3"/>
  <c r="H49" i="3"/>
  <c r="G103" i="3"/>
  <c r="G113" i="3" s="1"/>
  <c r="F93" i="3"/>
  <c r="F94" i="3"/>
  <c r="G84" i="3" s="1"/>
  <c r="G86" i="3" s="1"/>
  <c r="G89" i="3" s="1"/>
  <c r="G92" i="3" s="1"/>
  <c r="G110" i="3" s="1"/>
  <c r="G114" i="3" s="1"/>
  <c r="E89" i="3"/>
  <c r="E92" i="3" s="1"/>
  <c r="H79" i="3"/>
  <c r="H99" i="3"/>
  <c r="H106" i="3"/>
  <c r="H101" i="3"/>
  <c r="H103" i="3" s="1"/>
  <c r="H113" i="3" s="1"/>
  <c r="H114" i="3" s="1"/>
  <c r="F87" i="3"/>
  <c r="H93" i="3"/>
  <c r="H82" i="3"/>
  <c r="I75" i="3"/>
  <c r="H87" i="3"/>
  <c r="H55" i="3"/>
  <c r="H62" i="3"/>
  <c r="H61" i="3"/>
  <c r="H65" i="3"/>
  <c r="H64" i="3"/>
  <c r="H63" i="3"/>
  <c r="H51" i="3"/>
  <c r="E93" i="3" l="1"/>
  <c r="E110" i="3"/>
  <c r="E114" i="3" s="1"/>
  <c r="G93" i="3"/>
  <c r="G94" i="3"/>
  <c r="G87" i="3"/>
  <c r="I79" i="3"/>
  <c r="I99" i="3"/>
  <c r="I101" i="3"/>
  <c r="I103" i="3" s="1"/>
  <c r="I113" i="3" s="1"/>
  <c r="I114" i="3" s="1"/>
  <c r="I106" i="3"/>
  <c r="I82" i="3"/>
  <c r="J75" i="3"/>
  <c r="I93" i="3"/>
  <c r="I87" i="3"/>
  <c r="H57" i="3"/>
  <c r="H67" i="3"/>
  <c r="J79" i="3" l="1"/>
  <c r="J106" i="3"/>
  <c r="J101" i="3"/>
  <c r="J103" i="3" s="1"/>
  <c r="J113" i="3" s="1"/>
  <c r="J114" i="3" s="1"/>
  <c r="J99" i="3"/>
  <c r="J82" i="3"/>
  <c r="J87" i="3"/>
  <c r="J93" i="3"/>
</calcChain>
</file>

<file path=xl/sharedStrings.xml><?xml version="1.0" encoding="utf-8"?>
<sst xmlns="http://schemas.openxmlformats.org/spreadsheetml/2006/main" count="201" uniqueCount="92">
  <si>
    <t>LBO</t>
  </si>
  <si>
    <t>Assumptions</t>
  </si>
  <si>
    <t>Capital Structure</t>
  </si>
  <si>
    <t>Amount</t>
  </si>
  <si>
    <t>Cost</t>
  </si>
  <si>
    <t>Bank Debt</t>
  </si>
  <si>
    <t>Sr. Notes</t>
  </si>
  <si>
    <t>LTM Financials</t>
  </si>
  <si>
    <t>Existing Net Debt</t>
  </si>
  <si>
    <t>Revenue</t>
  </si>
  <si>
    <t>Operating Assumptions</t>
  </si>
  <si>
    <t>EBITDA</t>
  </si>
  <si>
    <t>Revenue Growth</t>
  </si>
  <si>
    <t>D&amp;A</t>
  </si>
  <si>
    <t>Fees &amp; Expenses</t>
  </si>
  <si>
    <t>YoY margin expansion</t>
  </si>
  <si>
    <t>Capex</t>
  </si>
  <si>
    <t>Tax Rate</t>
  </si>
  <si>
    <t>NWC</t>
  </si>
  <si>
    <t>LTM EBITDA</t>
  </si>
  <si>
    <t>Equity Value</t>
  </si>
  <si>
    <t>EBITDA Multiple</t>
  </si>
  <si>
    <t>Enterprise Value</t>
  </si>
  <si>
    <t>Financials</t>
  </si>
  <si>
    <t>Sources and Uses</t>
  </si>
  <si>
    <t>Sources</t>
  </si>
  <si>
    <t>Uses</t>
  </si>
  <si>
    <t>xEBITDA</t>
  </si>
  <si>
    <t>% Capital</t>
  </si>
  <si>
    <t>Total Debt</t>
  </si>
  <si>
    <t>Fees and Expenses</t>
  </si>
  <si>
    <t>Total Sources</t>
  </si>
  <si>
    <t>Total Uses</t>
  </si>
  <si>
    <t>Senior Notes</t>
  </si>
  <si>
    <t>Debt Retirement</t>
  </si>
  <si>
    <t>Operating Model</t>
  </si>
  <si>
    <t xml:space="preserve">   % sales</t>
  </si>
  <si>
    <t>EBIT</t>
  </si>
  <si>
    <t>Interest</t>
  </si>
  <si>
    <t>EBT</t>
  </si>
  <si>
    <t>Taxes</t>
  </si>
  <si>
    <t>Net Income</t>
  </si>
  <si>
    <t>Net Working Capital</t>
  </si>
  <si>
    <t>Levered Cash Flow</t>
  </si>
  <si>
    <t>CapEx</t>
  </si>
  <si>
    <t>Change in NWC</t>
  </si>
  <si>
    <t>Debt Schedule</t>
  </si>
  <si>
    <t>IRR</t>
  </si>
  <si>
    <t>Exit Multiple</t>
  </si>
  <si>
    <t>Sponsor Equity at Entry</t>
  </si>
  <si>
    <t>MOIC</t>
  </si>
  <si>
    <t>Net Debt</t>
  </si>
  <si>
    <t>For Reference</t>
  </si>
  <si>
    <t>EBITDA at Exit</t>
  </si>
  <si>
    <t>LBO Model</t>
  </si>
  <si>
    <t>%growth</t>
  </si>
  <si>
    <t xml:space="preserve"> %sales</t>
  </si>
  <si>
    <t>%sales</t>
  </si>
  <si>
    <t>Entry</t>
  </si>
  <si>
    <t>$mil</t>
  </si>
  <si>
    <t>Exit</t>
  </si>
  <si>
    <t>Rollover Equity</t>
  </si>
  <si>
    <t>New Sponser Cash (Liv)</t>
  </si>
  <si>
    <t>Rollover Equity (Family/Liv)</t>
  </si>
  <si>
    <t>Equity Payment (Public)</t>
  </si>
  <si>
    <t>Special</t>
  </si>
  <si>
    <t>Total equity</t>
  </si>
  <si>
    <t>https://investor.nordstrom.com/investor-relations</t>
  </si>
  <si>
    <t>FY24</t>
  </si>
  <si>
    <t>FY25</t>
  </si>
  <si>
    <t>FY26</t>
  </si>
  <si>
    <t>FY27</t>
  </si>
  <si>
    <t>FY28</t>
  </si>
  <si>
    <t>FY29</t>
  </si>
  <si>
    <t>Cash Flow Items</t>
  </si>
  <si>
    <t>%tax</t>
  </si>
  <si>
    <t>% sales</t>
  </si>
  <si>
    <t>+</t>
  </si>
  <si>
    <t>-</t>
  </si>
  <si>
    <t>Paydown</t>
  </si>
  <si>
    <t>Ending Balance</t>
  </si>
  <si>
    <t>Beginning Balance</t>
  </si>
  <si>
    <t>Year</t>
  </si>
  <si>
    <t>Used for Paydown</t>
  </si>
  <si>
    <t>Added to Cash Balance</t>
  </si>
  <si>
    <t>Ending Cash Balance</t>
  </si>
  <si>
    <t xml:space="preserve">Ending Cash </t>
  </si>
  <si>
    <t>Ownership</t>
  </si>
  <si>
    <t>Total Equity Value</t>
  </si>
  <si>
    <t>Sponsor Equity Value at exit</t>
  </si>
  <si>
    <t>debt ends</t>
  </si>
  <si>
    <t>Last Modified 2/2/2026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</si>
</sst>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164" formatCode="#,##0.0\x;&quot;NM&quot;_x"/>
    <numFmt numFmtId="165" formatCode="#,##0.0%_);\(#,##0.0%\)"/>
    <numFmt numFmtId="166" formatCode="#,##0_);\(#,##0\);\-_)"/>
    <numFmt numFmtId="167" formatCode="0_);\(0\)"/>
    <numFmt numFmtId="168" formatCode="0.0%_)"/>
    <numFmt numFmtId="169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</fills>
  <borders count="1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/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2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2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right"/>
    </xf>
    <xf numFmtId="166" fontId="1" fillId="0" borderId="0" xfId="0" applyNumberFormat="1" applyFont="1"/>
    <xf numFmtId="0" fontId="6" fillId="2" borderId="0" xfId="0" applyFont="1" applyFill="1" applyAlignment="1">
      <alignment horizontal="left"/>
    </xf>
    <xf numFmtId="0" fontId="6" fillId="4" borderId="0" xfId="0" applyFont="1" applyFill="1"/>
    <xf numFmtId="0" fontId="5" fillId="0" borderId="2" xfId="0" applyFont="1" applyBorder="1" applyAlignment="1">
      <alignment horizontal="left"/>
    </xf>
    <xf numFmtId="0" fontId="6" fillId="4" borderId="0" xfId="0" applyFont="1" applyFill="1" applyAlignment="1">
      <alignment horizontal="left"/>
    </xf>
    <xf numFmtId="168" fontId="4" fillId="0" borderId="0" xfId="0" applyNumberFormat="1" applyFont="1"/>
    <xf numFmtId="0" fontId="1" fillId="3" borderId="1" xfId="0" applyFont="1" applyFill="1" applyBorder="1"/>
    <xf numFmtId="0" fontId="1" fillId="0" borderId="1" xfId="0" applyFont="1" applyBorder="1"/>
    <xf numFmtId="0" fontId="1" fillId="5" borderId="0" xfId="0" applyFont="1" applyFill="1"/>
    <xf numFmtId="0" fontId="1" fillId="5" borderId="0" xfId="0" applyFont="1" applyFill="1" applyAlignment="1">
      <alignment horizontal="right"/>
    </xf>
    <xf numFmtId="3" fontId="1" fillId="5" borderId="0" xfId="0" applyNumberFormat="1" applyFont="1" applyFill="1"/>
    <xf numFmtId="3" fontId="2" fillId="0" borderId="0" xfId="0" applyNumberFormat="1" applyFont="1" applyAlignment="1">
      <alignment horizontal="right"/>
    </xf>
    <xf numFmtId="3" fontId="1" fillId="2" borderId="0" xfId="0" applyNumberFormat="1" applyFont="1" applyFill="1"/>
    <xf numFmtId="4" fontId="1" fillId="2" borderId="0" xfId="0" applyNumberFormat="1" applyFont="1" applyFill="1"/>
    <xf numFmtId="165" fontId="1" fillId="2" borderId="0" xfId="0" applyNumberFormat="1" applyFont="1" applyFill="1"/>
    <xf numFmtId="3" fontId="4" fillId="0" borderId="0" xfId="0" applyNumberFormat="1" applyFont="1"/>
    <xf numFmtId="3" fontId="1" fillId="0" borderId="0" xfId="0" applyNumberFormat="1" applyFont="1"/>
    <xf numFmtId="3" fontId="1" fillId="6" borderId="0" xfId="0" applyNumberFormat="1" applyFont="1" applyFill="1"/>
    <xf numFmtId="0" fontId="1" fillId="2" borderId="0" xfId="0" applyFont="1" applyFill="1" applyAlignment="1">
      <alignment horizontal="left"/>
    </xf>
    <xf numFmtId="3" fontId="6" fillId="7" borderId="0" xfId="0" applyNumberFormat="1" applyFont="1" applyFill="1"/>
    <xf numFmtId="0" fontId="0" fillId="4" borderId="0" xfId="0" applyFill="1" applyAlignment="1">
      <alignment horizontal="left"/>
    </xf>
    <xf numFmtId="0" fontId="0" fillId="4" borderId="0" xfId="0" applyFill="1"/>
    <xf numFmtId="0" fontId="0" fillId="0" borderId="3" xfId="0" applyBorder="1"/>
    <xf numFmtId="0" fontId="0" fillId="0" borderId="2" xfId="0" applyBorder="1"/>
    <xf numFmtId="0" fontId="0" fillId="0" borderId="9" xfId="0" applyBorder="1" applyAlignment="1">
      <alignment horizontal="left"/>
    </xf>
    <xf numFmtId="0" fontId="0" fillId="0" borderId="1" xfId="0" applyBorder="1"/>
    <xf numFmtId="0" fontId="0" fillId="0" borderId="4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3" borderId="2" xfId="0" applyFill="1" applyBorder="1"/>
    <xf numFmtId="37" fontId="0" fillId="0" borderId="0" xfId="0" applyNumberFormat="1"/>
    <xf numFmtId="4" fontId="0" fillId="3" borderId="1" xfId="0" applyNumberFormat="1" applyFill="1" applyBorder="1"/>
    <xf numFmtId="3" fontId="0" fillId="3" borderId="1" xfId="0" applyNumberFormat="1" applyFill="1" applyBorder="1"/>
    <xf numFmtId="167" fontId="0" fillId="3" borderId="1" xfId="0" applyNumberFormat="1" applyFill="1" applyBorder="1"/>
    <xf numFmtId="37" fontId="0" fillId="3" borderId="1" xfId="0" applyNumberFormat="1" applyFill="1" applyBorder="1"/>
    <xf numFmtId="9" fontId="0" fillId="0" borderId="2" xfId="0" applyNumberFormat="1" applyBorder="1"/>
    <xf numFmtId="0" fontId="0" fillId="3" borderId="1" xfId="0" applyFill="1" applyBorder="1"/>
    <xf numFmtId="166" fontId="0" fillId="0" borderId="0" xfId="0" applyNumberFormat="1"/>
    <xf numFmtId="10" fontId="0" fillId="3" borderId="1" xfId="0" applyNumberFormat="1" applyFill="1" applyBorder="1"/>
    <xf numFmtId="2" fontId="0" fillId="3" borderId="1" xfId="0" applyNumberFormat="1" applyFill="1" applyBorder="1"/>
    <xf numFmtId="165" fontId="0" fillId="0" borderId="0" xfId="0" applyNumberFormat="1"/>
    <xf numFmtId="0" fontId="0" fillId="3" borderId="0" xfId="0" applyFill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0" fontId="0" fillId="2" borderId="1" xfId="0" applyFill="1" applyBorder="1"/>
    <xf numFmtId="0" fontId="0" fillId="2" borderId="0" xfId="0" applyFill="1"/>
    <xf numFmtId="4" fontId="0" fillId="0" borderId="0" xfId="0" applyNumberFormat="1" applyAlignment="1">
      <alignment horizontal="right"/>
    </xf>
    <xf numFmtId="3" fontId="0" fillId="2" borderId="0" xfId="0" applyNumberFormat="1" applyFill="1"/>
    <xf numFmtId="4" fontId="0" fillId="2" borderId="0" xfId="0" applyNumberFormat="1" applyFill="1"/>
    <xf numFmtId="165" fontId="0" fillId="2" borderId="0" xfId="0" applyNumberFormat="1" applyFill="1"/>
    <xf numFmtId="0" fontId="0" fillId="5" borderId="11" xfId="0" applyFill="1" applyBorder="1" applyAlignment="1">
      <alignment horizontal="left"/>
    </xf>
    <xf numFmtId="0" fontId="0" fillId="5" borderId="0" xfId="0" applyFill="1"/>
    <xf numFmtId="0" fontId="0" fillId="3" borderId="1" xfId="0" applyFill="1" applyBorder="1" applyAlignment="1">
      <alignment horizontal="left"/>
    </xf>
    <xf numFmtId="0" fontId="4" fillId="0" borderId="0" xfId="0" applyFont="1"/>
    <xf numFmtId="10" fontId="0" fillId="0" borderId="0" xfId="0" applyNumberFormat="1"/>
    <xf numFmtId="6" fontId="0" fillId="0" borderId="0" xfId="0" applyNumberFormat="1"/>
    <xf numFmtId="169" fontId="0" fillId="0" borderId="0" xfId="0" applyNumberFormat="1"/>
    <xf numFmtId="3" fontId="0" fillId="0" borderId="2" xfId="0" applyNumberFormat="1" applyBorder="1"/>
    <xf numFmtId="165" fontId="4" fillId="0" borderId="0" xfId="0" applyNumberFormat="1" applyFont="1"/>
    <xf numFmtId="3" fontId="0" fillId="0" borderId="1" xfId="0" applyNumberFormat="1" applyBorder="1"/>
    <xf numFmtId="166" fontId="0" fillId="3" borderId="1" xfId="0" applyNumberFormat="1" applyFill="1" applyBorder="1"/>
    <xf numFmtId="0" fontId="0" fillId="0" borderId="6" xfId="0" applyBorder="1"/>
    <xf numFmtId="0" fontId="0" fillId="0" borderId="10" xfId="0" applyBorder="1"/>
    <xf numFmtId="0" fontId="0" fillId="0" borderId="8" xfId="0" applyBorder="1"/>
    <xf numFmtId="0" fontId="0" fillId="0" borderId="7" xfId="0" applyBorder="1"/>
    <xf numFmtId="0" fontId="0" fillId="0" borderId="5" xfId="0" applyBorder="1"/>
    <xf numFmtId="0" fontId="0" fillId="0" borderId="0" xfId="0" applyAlignment="1">
      <alignment horizontal="left"/>
    </xf>
    <xf numFmtId="4" fontId="0" fillId="0" borderId="1" xfId="0" applyNumberFormat="1" applyBorder="1"/>
    <xf numFmtId="0" fontId="6" fillId="0" borderId="0" xfId="0" applyFont="1"/>
    <xf numFmtId="3" fontId="6" fillId="0" borderId="1" xfId="0" applyNumberFormat="1" applyFont="1" applyBorder="1"/>
    <xf numFmtId="0" fontId="8" fillId="3" borderId="1" xfId="0" applyFont="1" applyFill="1" applyBorder="1"/>
    <xf numFmtId="3" fontId="9" fillId="0" borderId="0" xfId="0" applyNumberFormat="1" applyFont="1"/>
    <xf numFmtId="0" fontId="8" fillId="0" borderId="0" xfId="0" applyFont="1"/>
    <xf numFmtId="3" fontId="8" fillId="0" borderId="1" xfId="0" applyNumberFormat="1" applyFont="1" applyBorder="1"/>
    <xf numFmtId="10" fontId="0" fillId="0" borderId="1" xfId="0" applyNumberFormat="1" applyBorder="1"/>
  </cellXfs>
  <cellStyles count="2">
    <cellStyle name="Hyperlink 2" xfId="1" xr:uid="{22824541-EAD9-1F4E-8E56-EC65374A281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131445</xdr:colOff>
      <xdr:row>0</xdr:row>
      <xdr:rowOff>114300</xdr:rowOff>
    </xdr:from>
    <xdr:to>
      <xdr:col>15</xdr:col>
      <xdr:colOff>283845</xdr:colOff>
      <xdr:row>4</xdr:row>
      <xdr:rowOff>168436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D41355-10D3-EA0A-AA21-E2FB8BBE8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3795" y="114300"/>
          <a:ext cx="756285" cy="768511"/>
        </a:xfrm>
        <a:prstGeom prst="rect">
          <a:avLst/>
        </a:prstGeom>
      </xdr:spPr>
    </xdr:pic>
    <xdr:clientData/>
  </xdr:twoCellAnchor>
  <xdr:twoCellAnchor editAs="oneCell">
    <xdr:from>
      <xdr:col>15</xdr:col>
      <xdr:colOff>350520</xdr:colOff>
      <xdr:row>0</xdr:row>
      <xdr:rowOff>0</xdr:rowOff>
    </xdr:from>
    <xdr:to>
      <xdr:col>17</xdr:col>
      <xdr:colOff>230504</xdr:colOff>
      <xdr:row>5</xdr:row>
      <xdr:rowOff>99020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A710D7-E169-EC50-625B-23067E040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2945" y="0"/>
          <a:ext cx="1080134" cy="10115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en/Desktop/rareliquid/Excels/2024.0.13%20-%20Burger%20King%20LBO%20Stream%20-%20Part%202%20-%20vSTRE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D5621-F4A8-40E0-BD7C-E3B2A6B41CD4}">
  <dimension ref="A1:CU616"/>
  <sheetViews>
    <sheetView tabSelected="1" zoomScaleNormal="100" workbookViewId="0">
      <selection activeCell="T21" sqref="T21"/>
    </sheetView>
  </sheetViews>
  <sheetFormatPr defaultColWidth="8.77734375" defaultRowHeight="14.4" x14ac:dyDescent="0.3"/>
  <cols>
    <col min="1" max="2" width="8.77734375" style="71"/>
    <col min="6" max="6" width="9" bestFit="1" customWidth="1"/>
    <col min="10" max="10" width="9.33203125" customWidth="1"/>
    <col min="11" max="11" width="10.21875" bestFit="1" customWidth="1"/>
    <col min="13" max="13" width="1.5546875" customWidth="1"/>
    <col min="14" max="14" width="1" customWidth="1"/>
    <col min="15" max="99" width="8.77734375" style="27"/>
  </cols>
  <sheetData>
    <row r="1" spans="1:51" x14ac:dyDescent="0.3">
      <c r="A1" s="8" t="s">
        <v>91</v>
      </c>
      <c r="B1" s="24"/>
      <c r="C1" s="25"/>
      <c r="D1" s="25"/>
      <c r="E1" s="25"/>
      <c r="F1" s="6" t="s">
        <v>54</v>
      </c>
      <c r="G1" s="6"/>
      <c r="H1" s="25"/>
      <c r="I1" s="25"/>
      <c r="J1" s="6"/>
      <c r="K1" s="25"/>
      <c r="L1" s="6"/>
      <c r="M1" s="26"/>
      <c r="N1" s="26"/>
    </row>
    <row r="2" spans="1:51" x14ac:dyDescent="0.3">
      <c r="A2" s="7" t="s">
        <v>0</v>
      </c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  <c r="N2" s="26"/>
    </row>
    <row r="3" spans="1:51" x14ac:dyDescent="0.3">
      <c r="A3" s="31"/>
      <c r="B3" s="28"/>
      <c r="C3" s="29"/>
      <c r="D3" s="29"/>
      <c r="E3" s="29"/>
      <c r="F3" s="29"/>
      <c r="G3" s="29"/>
      <c r="H3" s="29" t="s">
        <v>67</v>
      </c>
      <c r="I3" s="29"/>
      <c r="J3" s="29"/>
      <c r="K3" s="29"/>
      <c r="L3" s="29"/>
      <c r="M3" s="30"/>
      <c r="N3" s="26"/>
    </row>
    <row r="4" spans="1:51" x14ac:dyDescent="0.3">
      <c r="A4" s="31"/>
      <c r="B4" s="28"/>
      <c r="C4" s="29"/>
      <c r="D4" s="29"/>
      <c r="E4" s="29"/>
      <c r="F4" s="29"/>
      <c r="G4" s="11"/>
      <c r="H4" s="29"/>
      <c r="I4" s="29"/>
      <c r="J4" s="29"/>
      <c r="K4" s="29"/>
      <c r="L4" s="29"/>
      <c r="M4" s="30"/>
      <c r="N4" s="26"/>
      <c r="W4" s="2"/>
    </row>
    <row r="5" spans="1:51" x14ac:dyDescent="0.3">
      <c r="A5" s="31"/>
      <c r="B5" s="28"/>
      <c r="C5" s="29"/>
      <c r="D5" s="29"/>
      <c r="E5" s="29"/>
      <c r="F5" s="29"/>
      <c r="G5" s="29"/>
      <c r="H5" s="29"/>
      <c r="I5" s="29"/>
      <c r="J5" s="29"/>
      <c r="K5" s="29"/>
      <c r="L5" s="29"/>
      <c r="M5" s="30"/>
      <c r="N5" s="26"/>
    </row>
    <row r="6" spans="1:51" x14ac:dyDescent="0.3">
      <c r="A6" s="24"/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6"/>
      <c r="N6" s="26"/>
    </row>
    <row r="7" spans="1:51" x14ac:dyDescent="0.3">
      <c r="A7" s="5" t="s">
        <v>1</v>
      </c>
      <c r="B7" s="32"/>
      <c r="M7" s="26"/>
      <c r="N7" s="26"/>
    </row>
    <row r="8" spans="1:51" ht="14.4" customHeight="1" x14ac:dyDescent="0.3">
      <c r="A8" s="31"/>
      <c r="B8" s="31"/>
      <c r="M8" s="26"/>
      <c r="N8" s="26"/>
    </row>
    <row r="9" spans="1:51" ht="14.4" customHeight="1" x14ac:dyDescent="0.3">
      <c r="A9" s="31"/>
      <c r="B9" s="31" t="s">
        <v>59</v>
      </c>
      <c r="C9" s="12" t="s">
        <v>58</v>
      </c>
      <c r="D9" s="12"/>
      <c r="E9" s="12"/>
      <c r="F9" s="12"/>
      <c r="M9" s="26"/>
      <c r="N9" s="26"/>
      <c r="AR9" s="33"/>
      <c r="AS9" s="33"/>
      <c r="AT9" s="33"/>
      <c r="AU9" s="33"/>
      <c r="AV9" s="33"/>
      <c r="AW9" s="33"/>
      <c r="AX9" s="33"/>
      <c r="AY9" s="33"/>
    </row>
    <row r="10" spans="1:51" ht="14.4" customHeight="1" x14ac:dyDescent="0.3">
      <c r="A10" s="31"/>
      <c r="B10" s="31"/>
      <c r="C10" t="s">
        <v>19</v>
      </c>
      <c r="F10" s="34">
        <v>1109</v>
      </c>
      <c r="M10" s="26"/>
      <c r="N10" s="26"/>
      <c r="AR10" s="33"/>
      <c r="AS10" s="33"/>
      <c r="AT10" s="33"/>
      <c r="AU10" s="33"/>
      <c r="AV10" s="33"/>
      <c r="AW10" s="33"/>
      <c r="AX10" s="33"/>
      <c r="AY10" s="33"/>
    </row>
    <row r="11" spans="1:51" ht="14.4" customHeight="1" x14ac:dyDescent="0.3">
      <c r="A11" s="31"/>
      <c r="B11" s="31"/>
      <c r="C11" t="s">
        <v>21</v>
      </c>
      <c r="F11" s="35">
        <f>F12/F10</f>
        <v>5.6302975653742111</v>
      </c>
      <c r="M11" s="26"/>
      <c r="N11" s="26"/>
      <c r="AR11" s="33"/>
      <c r="AS11" s="33"/>
      <c r="AT11" s="33"/>
      <c r="AU11" s="33"/>
      <c r="AV11" s="33"/>
      <c r="AW11" s="33"/>
      <c r="AX11" s="33"/>
      <c r="AY11" s="33"/>
    </row>
    <row r="12" spans="1:51" ht="14.4" customHeight="1" x14ac:dyDescent="0.3">
      <c r="A12" s="31"/>
      <c r="B12" s="31"/>
      <c r="C12" s="2" t="s">
        <v>22</v>
      </c>
      <c r="D12" s="2"/>
      <c r="E12" s="2"/>
      <c r="F12" s="36">
        <v>6244</v>
      </c>
      <c r="M12" s="26"/>
      <c r="N12" s="26"/>
      <c r="AR12" s="33"/>
      <c r="AS12" s="33"/>
      <c r="AT12" s="33"/>
      <c r="AU12" s="33"/>
      <c r="AV12" s="33"/>
      <c r="AW12" s="33"/>
      <c r="AX12" s="33"/>
      <c r="AY12" s="33"/>
    </row>
    <row r="13" spans="1:51" ht="14.4" customHeight="1" x14ac:dyDescent="0.3">
      <c r="A13" s="31"/>
      <c r="B13" s="31"/>
      <c r="C13" t="s">
        <v>8</v>
      </c>
      <c r="F13" s="37">
        <v>1960</v>
      </c>
      <c r="M13" s="26"/>
      <c r="N13" s="26"/>
      <c r="AR13" s="33"/>
      <c r="AS13" s="33"/>
      <c r="AT13" s="33"/>
      <c r="AU13" s="33"/>
      <c r="AV13" s="33"/>
      <c r="AW13" s="33"/>
      <c r="AX13" s="33"/>
      <c r="AY13" s="33"/>
    </row>
    <row r="14" spans="1:51" ht="14.4" customHeight="1" x14ac:dyDescent="0.3">
      <c r="A14" s="31"/>
      <c r="B14" s="31"/>
      <c r="C14" s="2" t="s">
        <v>20</v>
      </c>
      <c r="D14" s="2"/>
      <c r="E14" s="2"/>
      <c r="F14" s="38">
        <f>24.5*175.1</f>
        <v>4289.95</v>
      </c>
      <c r="M14" s="30"/>
      <c r="N14" s="26"/>
      <c r="S14" s="39"/>
      <c r="AR14" s="33"/>
      <c r="AS14" s="33"/>
      <c r="AT14" s="33"/>
      <c r="AU14" s="33"/>
      <c r="AV14" s="33"/>
      <c r="AW14" s="33"/>
      <c r="AX14" s="33"/>
      <c r="AY14" s="33"/>
    </row>
    <row r="15" spans="1:51" ht="14.4" customHeight="1" x14ac:dyDescent="0.3">
      <c r="A15" s="31"/>
      <c r="B15" s="31"/>
      <c r="F15" s="40"/>
      <c r="M15" s="30"/>
      <c r="N15" s="26"/>
      <c r="AR15" s="33"/>
      <c r="AS15" s="33"/>
      <c r="AT15" s="33"/>
      <c r="AU15" s="33"/>
      <c r="AV15" s="33"/>
      <c r="AW15" s="33"/>
      <c r="AX15" s="33"/>
      <c r="AY15" s="33"/>
    </row>
    <row r="16" spans="1:51" ht="14.4" customHeight="1" x14ac:dyDescent="0.3">
      <c r="A16" s="31"/>
      <c r="B16" s="31"/>
      <c r="C16" t="s">
        <v>14</v>
      </c>
      <c r="F16" s="37">
        <v>50</v>
      </c>
      <c r="M16" s="30"/>
      <c r="N16" s="26"/>
      <c r="AR16" s="33"/>
      <c r="AS16" s="33"/>
      <c r="AT16" s="33"/>
      <c r="AU16" s="33"/>
      <c r="AV16" s="33"/>
      <c r="AW16" s="33"/>
      <c r="AX16" s="33"/>
      <c r="AY16" s="33"/>
    </row>
    <row r="17" spans="1:51" ht="14.4" customHeight="1" x14ac:dyDescent="0.3">
      <c r="A17" s="31"/>
      <c r="B17" s="31"/>
      <c r="F17" s="41"/>
      <c r="M17" s="30"/>
      <c r="N17" s="26"/>
      <c r="AR17" s="33"/>
      <c r="AS17" s="33"/>
      <c r="AT17" s="33"/>
      <c r="AU17" s="33"/>
      <c r="AV17" s="33"/>
      <c r="AW17" s="33"/>
      <c r="AX17" s="33"/>
      <c r="AY17" s="33"/>
    </row>
    <row r="18" spans="1:51" ht="14.4" customHeight="1" x14ac:dyDescent="0.3">
      <c r="A18" s="31"/>
      <c r="B18" s="31"/>
      <c r="C18" s="12" t="s">
        <v>60</v>
      </c>
      <c r="D18" s="12"/>
      <c r="E18" s="12"/>
      <c r="F18" s="12"/>
      <c r="M18" s="30"/>
      <c r="N18" s="26"/>
      <c r="AR18" s="33"/>
      <c r="AS18" s="33"/>
      <c r="AT18" s="33"/>
      <c r="AU18" s="33"/>
      <c r="AV18" s="33"/>
      <c r="AW18" s="33"/>
      <c r="AX18" s="33"/>
      <c r="AY18" s="33"/>
    </row>
    <row r="19" spans="1:51" ht="14.4" customHeight="1" x14ac:dyDescent="0.3">
      <c r="A19" s="31"/>
      <c r="B19" s="31"/>
      <c r="C19" t="s">
        <v>21</v>
      </c>
      <c r="F19" s="35">
        <v>5.6</v>
      </c>
      <c r="M19" s="30"/>
      <c r="N19" s="26"/>
      <c r="AR19" s="33"/>
      <c r="AS19" s="33"/>
      <c r="AT19" s="33"/>
      <c r="AU19" s="33"/>
      <c r="AV19" s="33"/>
      <c r="AW19" s="33"/>
      <c r="AX19" s="33"/>
      <c r="AY19" s="33"/>
    </row>
    <row r="20" spans="1:51" ht="14.4" customHeight="1" x14ac:dyDescent="0.3">
      <c r="A20" s="31"/>
      <c r="B20" s="31"/>
      <c r="M20" s="30"/>
      <c r="N20" s="26"/>
      <c r="AR20" s="33"/>
      <c r="AS20" s="33"/>
      <c r="AT20" s="33"/>
      <c r="AU20" s="33"/>
      <c r="AV20" s="33"/>
      <c r="AW20" s="33"/>
      <c r="AX20" s="33"/>
      <c r="AY20" s="33"/>
    </row>
    <row r="21" spans="1:51" ht="14.4" customHeight="1" x14ac:dyDescent="0.3">
      <c r="A21" s="31"/>
      <c r="B21" s="31"/>
      <c r="M21" s="30"/>
      <c r="N21" s="26"/>
      <c r="AR21" s="33"/>
      <c r="AS21" s="33"/>
      <c r="AT21" s="33"/>
      <c r="AU21" s="33"/>
      <c r="AV21" s="33"/>
      <c r="AW21" s="33"/>
      <c r="AX21" s="33"/>
      <c r="AY21" s="33"/>
    </row>
    <row r="22" spans="1:51" ht="14.4" customHeight="1" x14ac:dyDescent="0.3">
      <c r="A22" s="31"/>
      <c r="B22" s="31"/>
      <c r="C22" s="12" t="s">
        <v>23</v>
      </c>
      <c r="D22" s="12"/>
      <c r="E22" s="12"/>
      <c r="F22" s="13"/>
      <c r="M22" s="30"/>
      <c r="N22" s="26"/>
      <c r="AR22" s="33"/>
      <c r="AS22" s="33"/>
      <c r="AT22" s="33"/>
      <c r="AU22" s="33"/>
      <c r="AV22" s="33"/>
      <c r="AW22" s="33"/>
      <c r="AX22" s="33"/>
      <c r="AY22" s="33"/>
    </row>
    <row r="23" spans="1:51" ht="14.4" customHeight="1" x14ac:dyDescent="0.3">
      <c r="A23" s="31"/>
      <c r="B23" s="31"/>
      <c r="C23" s="1" t="s">
        <v>7</v>
      </c>
      <c r="F23" s="40"/>
      <c r="M23" s="30"/>
      <c r="N23" s="26"/>
      <c r="AR23" s="33"/>
      <c r="AS23" s="33"/>
      <c r="AT23" s="33"/>
      <c r="AU23" s="33"/>
      <c r="AV23" s="33"/>
      <c r="AW23" s="33"/>
      <c r="AX23" s="33"/>
      <c r="AY23" s="33"/>
    </row>
    <row r="24" spans="1:51" ht="14.4" customHeight="1" x14ac:dyDescent="0.3">
      <c r="A24" s="31"/>
      <c r="B24" s="31"/>
      <c r="C24" t="s">
        <v>9</v>
      </c>
      <c r="F24" s="36">
        <v>15016</v>
      </c>
      <c r="M24" s="30"/>
      <c r="N24" s="26"/>
      <c r="AR24" s="33"/>
      <c r="AS24" s="33"/>
      <c r="AT24" s="33"/>
      <c r="AU24" s="33"/>
      <c r="AV24" s="33"/>
      <c r="AW24" s="33"/>
      <c r="AX24" s="33"/>
      <c r="AY24" s="33"/>
    </row>
    <row r="25" spans="1:51" ht="14.4" customHeight="1" x14ac:dyDescent="0.3">
      <c r="A25" s="31"/>
      <c r="B25" s="31"/>
      <c r="C25" t="s">
        <v>11</v>
      </c>
      <c r="F25" s="36">
        <v>1109</v>
      </c>
      <c r="M25" s="30"/>
      <c r="N25" s="26"/>
      <c r="AR25" s="33"/>
      <c r="AS25" s="33"/>
      <c r="AT25" s="33"/>
      <c r="AU25" s="33"/>
      <c r="AV25" s="33"/>
      <c r="AW25" s="33"/>
      <c r="AX25" s="33"/>
      <c r="AY25" s="33"/>
    </row>
    <row r="26" spans="1:51" ht="14.4" customHeight="1" x14ac:dyDescent="0.3">
      <c r="A26" s="31"/>
      <c r="B26" s="31"/>
      <c r="C26" t="s">
        <v>13</v>
      </c>
      <c r="F26" s="36">
        <v>516</v>
      </c>
      <c r="M26" s="30"/>
      <c r="N26" s="26"/>
      <c r="AR26" s="33"/>
      <c r="AS26" s="33"/>
      <c r="AT26" s="33"/>
      <c r="AU26" s="33"/>
      <c r="AV26" s="33"/>
      <c r="AW26" s="33"/>
      <c r="AX26" s="33"/>
      <c r="AY26" s="33"/>
    </row>
    <row r="27" spans="1:51" ht="14.4" customHeight="1" x14ac:dyDescent="0.3">
      <c r="A27" s="31"/>
      <c r="B27" s="31"/>
      <c r="C27" t="s">
        <v>16</v>
      </c>
      <c r="F27" s="36">
        <v>502</v>
      </c>
      <c r="M27" s="30"/>
      <c r="N27" s="26"/>
      <c r="AR27" s="33"/>
      <c r="AS27" s="33"/>
      <c r="AT27" s="33"/>
      <c r="AU27" s="33"/>
      <c r="AV27" s="33"/>
      <c r="AW27" s="33"/>
      <c r="AX27" s="33"/>
      <c r="AY27" s="33"/>
    </row>
    <row r="28" spans="1:51" ht="14.4" customHeight="1" x14ac:dyDescent="0.3">
      <c r="A28" s="31"/>
      <c r="B28" s="31"/>
      <c r="C28" t="s">
        <v>18</v>
      </c>
      <c r="F28" s="36">
        <v>-300</v>
      </c>
      <c r="M28" s="30"/>
      <c r="N28" s="26"/>
      <c r="AR28" s="33"/>
      <c r="AS28" s="33"/>
      <c r="AT28" s="33"/>
      <c r="AU28" s="33"/>
      <c r="AV28" s="33"/>
      <c r="AW28" s="33"/>
      <c r="AX28" s="33"/>
      <c r="AY28" s="33"/>
    </row>
    <row r="29" spans="1:51" ht="14.4" customHeight="1" x14ac:dyDescent="0.3">
      <c r="A29" s="31"/>
      <c r="B29" s="31"/>
      <c r="F29" s="40"/>
      <c r="M29" s="30"/>
      <c r="N29" s="26"/>
      <c r="AR29" s="33"/>
      <c r="AS29" s="33"/>
      <c r="AT29" s="33"/>
      <c r="AU29" s="33"/>
      <c r="AV29" s="33"/>
      <c r="AW29" s="33"/>
      <c r="AX29" s="33"/>
      <c r="AY29" s="33"/>
    </row>
    <row r="30" spans="1:51" ht="14.4" customHeight="1" x14ac:dyDescent="0.3">
      <c r="A30" s="31"/>
      <c r="B30" s="31"/>
      <c r="C30" s="1" t="s">
        <v>10</v>
      </c>
      <c r="F30" s="40"/>
      <c r="M30" s="30"/>
      <c r="N30" s="26"/>
      <c r="AR30" s="33"/>
      <c r="AS30" s="33"/>
      <c r="AT30" s="33"/>
      <c r="AU30" s="33"/>
      <c r="AV30" s="33"/>
      <c r="AW30" s="33"/>
      <c r="AX30" s="33"/>
      <c r="AY30" s="33"/>
    </row>
    <row r="31" spans="1:51" ht="14.4" customHeight="1" x14ac:dyDescent="0.3">
      <c r="A31" s="31"/>
      <c r="B31" s="31"/>
      <c r="C31" t="s">
        <v>12</v>
      </c>
      <c r="F31" s="42">
        <v>1.4999999999999999E-2</v>
      </c>
      <c r="M31" s="30"/>
      <c r="N31" s="26"/>
      <c r="AR31" s="33"/>
      <c r="AS31" s="33"/>
      <c r="AT31" s="33"/>
      <c r="AU31" s="33"/>
      <c r="AV31" s="33"/>
      <c r="AW31" s="33"/>
      <c r="AX31" s="33"/>
      <c r="AY31" s="33"/>
    </row>
    <row r="32" spans="1:51" ht="14.4" customHeight="1" x14ac:dyDescent="0.3">
      <c r="A32" s="31"/>
      <c r="B32" s="31"/>
      <c r="C32" t="s">
        <v>15</v>
      </c>
      <c r="F32" s="42">
        <v>3.0000000000000001E-3</v>
      </c>
      <c r="M32" s="30"/>
      <c r="N32" s="26"/>
      <c r="AR32" s="33"/>
      <c r="AS32" s="33"/>
      <c r="AT32" s="33"/>
      <c r="AU32" s="33"/>
      <c r="AV32" s="33"/>
      <c r="AW32" s="33"/>
      <c r="AX32" s="33"/>
      <c r="AY32" s="33"/>
    </row>
    <row r="33" spans="1:99" ht="14.4" customHeight="1" x14ac:dyDescent="0.3">
      <c r="A33" s="31"/>
      <c r="B33" s="31"/>
      <c r="C33" t="s">
        <v>17</v>
      </c>
      <c r="F33" s="42">
        <v>0.253</v>
      </c>
      <c r="M33" s="30"/>
      <c r="N33" s="26"/>
      <c r="AR33" s="33"/>
      <c r="AS33" s="33"/>
      <c r="AT33" s="33"/>
      <c r="AU33" s="33"/>
      <c r="AV33" s="33"/>
      <c r="AW33" s="33"/>
      <c r="AX33" s="33"/>
      <c r="AY33" s="33"/>
    </row>
    <row r="34" spans="1:99" ht="14.4" customHeight="1" x14ac:dyDescent="0.3">
      <c r="A34" s="31"/>
      <c r="B34" s="31"/>
      <c r="M34" s="30"/>
      <c r="N34" s="26"/>
      <c r="AR34" s="33"/>
      <c r="AS34" s="33"/>
      <c r="AT34" s="33"/>
      <c r="AU34" s="33"/>
      <c r="AV34" s="33"/>
      <c r="AW34" s="33"/>
      <c r="AX34" s="33"/>
      <c r="AY34" s="33"/>
    </row>
    <row r="35" spans="1:99" ht="14.4" customHeight="1" x14ac:dyDescent="0.3">
      <c r="A35" s="31"/>
      <c r="B35" s="31"/>
      <c r="C35" s="12" t="s">
        <v>2</v>
      </c>
      <c r="D35" s="12"/>
      <c r="E35" s="13" t="s">
        <v>3</v>
      </c>
      <c r="F35" s="13" t="s">
        <v>4</v>
      </c>
      <c r="M35" s="30"/>
      <c r="N35" s="26"/>
      <c r="AR35" s="33"/>
      <c r="AS35" s="33"/>
      <c r="AT35" s="33"/>
      <c r="AU35" s="33"/>
      <c r="AV35" s="33"/>
      <c r="AW35" s="33"/>
      <c r="AX35" s="33"/>
      <c r="AY35" s="33"/>
    </row>
    <row r="36" spans="1:99" ht="14.4" customHeight="1" x14ac:dyDescent="0.3">
      <c r="A36" s="31"/>
      <c r="B36" s="31"/>
      <c r="C36" t="s">
        <v>5</v>
      </c>
      <c r="E36" s="43">
        <v>0.4</v>
      </c>
      <c r="F36" s="42">
        <v>6.7500000000000004E-2</v>
      </c>
      <c r="M36" s="30"/>
      <c r="N36" s="26"/>
      <c r="AR36" s="33"/>
      <c r="AS36" s="33"/>
      <c r="AT36" s="33"/>
      <c r="AU36" s="33"/>
      <c r="AV36" s="33"/>
      <c r="AW36" s="33"/>
      <c r="AX36" s="33"/>
      <c r="AY36" s="33"/>
    </row>
    <row r="37" spans="1:99" ht="14.4" customHeight="1" x14ac:dyDescent="0.3">
      <c r="A37" s="31"/>
      <c r="B37" s="31"/>
      <c r="C37" t="s">
        <v>33</v>
      </c>
      <c r="E37" s="43">
        <v>2.4</v>
      </c>
      <c r="F37" s="42">
        <v>5.5E-2</v>
      </c>
      <c r="M37" s="30"/>
      <c r="N37" s="26"/>
      <c r="AR37" s="33"/>
      <c r="AS37" s="33"/>
      <c r="AT37" s="33"/>
      <c r="AU37" s="33"/>
      <c r="AV37" s="33"/>
      <c r="AW37" s="33"/>
      <c r="AX37" s="33"/>
      <c r="AY37" s="33"/>
    </row>
    <row r="38" spans="1:99" ht="14.4" customHeight="1" x14ac:dyDescent="0.3">
      <c r="A38" s="31"/>
      <c r="B38" s="31"/>
      <c r="M38" s="30"/>
      <c r="N38" s="26"/>
      <c r="AR38" s="33"/>
      <c r="AS38" s="33"/>
      <c r="AT38" s="33"/>
      <c r="AU38" s="33"/>
      <c r="AV38" s="33"/>
      <c r="AW38" s="33"/>
      <c r="AX38" s="33"/>
      <c r="AY38" s="33"/>
    </row>
    <row r="39" spans="1:99" ht="14.4" customHeight="1" x14ac:dyDescent="0.3">
      <c r="A39" s="31"/>
      <c r="B39" s="31"/>
      <c r="C39" s="12" t="s">
        <v>52</v>
      </c>
      <c r="D39" s="12"/>
      <c r="E39" s="13"/>
      <c r="F39" s="13"/>
      <c r="M39" s="30"/>
      <c r="N39" s="26"/>
      <c r="AR39" s="33"/>
      <c r="AS39" s="33"/>
      <c r="AT39" s="33"/>
      <c r="AU39" s="33"/>
      <c r="AV39" s="33"/>
      <c r="AW39" s="33"/>
      <c r="AX39" s="33"/>
      <c r="AY39" s="33"/>
    </row>
    <row r="40" spans="1:99" ht="14.4" customHeight="1" x14ac:dyDescent="0.3">
      <c r="A40" s="31"/>
      <c r="B40" s="31"/>
      <c r="C40" t="s">
        <v>47</v>
      </c>
      <c r="F40" s="44">
        <v>0.185</v>
      </c>
      <c r="M40" s="30"/>
      <c r="N40" s="26"/>
      <c r="AR40" s="33"/>
      <c r="AS40" s="33"/>
      <c r="AT40" s="33"/>
      <c r="AU40" s="33"/>
      <c r="AV40" s="33"/>
      <c r="AW40" s="33"/>
      <c r="AX40" s="33"/>
      <c r="AY40" s="33"/>
    </row>
    <row r="41" spans="1:99" ht="14.4" customHeight="1" x14ac:dyDescent="0.3">
      <c r="A41" s="31"/>
      <c r="B41" s="31"/>
      <c r="C41" t="s">
        <v>50</v>
      </c>
      <c r="F41">
        <v>2.4</v>
      </c>
      <c r="K41" s="9"/>
      <c r="L41" s="9"/>
      <c r="M41" s="30"/>
      <c r="N41" s="26"/>
      <c r="AR41" s="33"/>
      <c r="AS41" s="33"/>
      <c r="AT41" s="33"/>
      <c r="AU41" s="33"/>
      <c r="AV41" s="33"/>
      <c r="AW41" s="33"/>
      <c r="AX41" s="33"/>
      <c r="AY41" s="33"/>
    </row>
    <row r="42" spans="1:99" ht="14.4" customHeight="1" x14ac:dyDescent="0.3">
      <c r="A42" s="31"/>
      <c r="B42" s="31"/>
      <c r="K42" s="9"/>
      <c r="L42" s="9"/>
      <c r="M42" s="30"/>
      <c r="N42" s="26"/>
      <c r="AR42" s="33"/>
      <c r="AS42" s="33"/>
      <c r="AT42" s="33"/>
      <c r="AU42" s="33"/>
      <c r="AV42" s="33"/>
      <c r="AW42" s="33"/>
      <c r="AX42" s="33"/>
      <c r="AY42" s="33"/>
    </row>
    <row r="43" spans="1:99" ht="14.4" customHeight="1" x14ac:dyDescent="0.3">
      <c r="A43" s="31"/>
      <c r="B43" s="31"/>
      <c r="K43" s="9"/>
      <c r="L43" s="9"/>
      <c r="M43" s="30"/>
      <c r="N43" s="26"/>
      <c r="AR43" s="33"/>
      <c r="AS43" s="33"/>
      <c r="AT43" s="33"/>
      <c r="AU43" s="33"/>
      <c r="AV43" s="33"/>
      <c r="AW43" s="33"/>
      <c r="AX43" s="33"/>
      <c r="AY43" s="33"/>
    </row>
    <row r="44" spans="1:99" ht="14.4" customHeight="1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30"/>
      <c r="N44" s="26"/>
      <c r="AR44" s="33"/>
      <c r="AS44" s="33"/>
      <c r="AT44" s="33"/>
      <c r="AU44" s="33"/>
      <c r="AV44" s="33"/>
      <c r="AW44" s="33"/>
      <c r="AX44" s="33"/>
      <c r="AY44" s="33"/>
    </row>
    <row r="45" spans="1:99" ht="14.4" customHeight="1" x14ac:dyDescent="0.3">
      <c r="A45" s="5" t="s">
        <v>24</v>
      </c>
      <c r="B45" s="32"/>
      <c r="K45" s="9"/>
      <c r="L45" s="9"/>
      <c r="M45" s="30"/>
      <c r="N45" s="26"/>
      <c r="AR45" s="33"/>
      <c r="AS45" s="33"/>
      <c r="AT45" s="33"/>
      <c r="AU45" s="33"/>
      <c r="AV45" s="33"/>
      <c r="AW45" s="33"/>
      <c r="AX45" s="33"/>
      <c r="AY45" s="33"/>
    </row>
    <row r="46" spans="1:99" s="45" customFormat="1" ht="14.4" customHeight="1" x14ac:dyDescent="0.3">
      <c r="A46" s="31"/>
      <c r="B46" s="31"/>
      <c r="C46"/>
      <c r="D46"/>
      <c r="E46"/>
      <c r="F46"/>
      <c r="G46"/>
      <c r="H46"/>
      <c r="I46"/>
      <c r="J46"/>
      <c r="K46" s="9"/>
      <c r="L46" s="9"/>
      <c r="M46" s="30"/>
      <c r="N46" s="26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</row>
    <row r="47" spans="1:99" ht="14.4" customHeight="1" x14ac:dyDescent="0.3">
      <c r="A47" s="31"/>
      <c r="B47" s="31"/>
      <c r="C47" s="12" t="s">
        <v>25</v>
      </c>
      <c r="D47" s="12"/>
      <c r="E47" s="12"/>
      <c r="F47" s="12"/>
      <c r="G47" s="12"/>
      <c r="H47" s="12"/>
      <c r="K47" s="9"/>
      <c r="L47" s="9"/>
      <c r="M47" s="30"/>
      <c r="N47" s="26"/>
      <c r="AR47" s="33"/>
      <c r="AS47" s="33"/>
      <c r="AT47" s="33"/>
      <c r="AU47" s="33"/>
      <c r="AV47" s="33"/>
      <c r="AW47" s="33"/>
      <c r="AX47" s="33"/>
      <c r="AY47" s="33"/>
    </row>
    <row r="48" spans="1:99" ht="14.4" customHeight="1" x14ac:dyDescent="0.3">
      <c r="A48" s="31"/>
      <c r="B48" s="31"/>
      <c r="F48" s="3" t="s">
        <v>3</v>
      </c>
      <c r="G48" s="3" t="s">
        <v>27</v>
      </c>
      <c r="H48" s="3" t="s">
        <v>28</v>
      </c>
      <c r="K48" s="9"/>
      <c r="L48" s="9"/>
      <c r="M48" s="30"/>
      <c r="N48" s="26"/>
      <c r="AR48" s="33"/>
      <c r="AS48" s="33"/>
      <c r="AT48" s="33"/>
      <c r="AU48" s="33"/>
      <c r="AV48" s="33"/>
      <c r="AW48" s="33"/>
      <c r="AX48" s="33"/>
      <c r="AY48" s="33"/>
    </row>
    <row r="49" spans="1:51" ht="14.4" customHeight="1" x14ac:dyDescent="0.3">
      <c r="A49" s="31"/>
      <c r="B49" s="31"/>
      <c r="C49" t="s">
        <v>5</v>
      </c>
      <c r="F49" s="46">
        <v>450</v>
      </c>
      <c r="G49" s="47">
        <v>0.4</v>
      </c>
      <c r="H49" s="44">
        <f>F49/F57</f>
        <v>7.2580645161290328E-2</v>
      </c>
      <c r="K49" s="9"/>
      <c r="L49" s="9"/>
      <c r="M49" s="30"/>
      <c r="N49" s="26"/>
      <c r="AR49" s="33"/>
      <c r="AS49" s="33"/>
      <c r="AT49" s="33"/>
      <c r="AU49" s="33"/>
      <c r="AV49" s="33"/>
      <c r="AW49" s="33"/>
      <c r="AX49" s="33"/>
      <c r="AY49" s="33"/>
    </row>
    <row r="50" spans="1:51" ht="14.4" customHeight="1" x14ac:dyDescent="0.3">
      <c r="A50" s="31"/>
      <c r="B50" s="31"/>
      <c r="C50" t="s">
        <v>33</v>
      </c>
      <c r="D50" s="41"/>
      <c r="E50" s="41"/>
      <c r="F50" s="46">
        <v>2700</v>
      </c>
      <c r="G50" s="47">
        <v>2.4</v>
      </c>
      <c r="H50" s="44">
        <f>F50/$F$57</f>
        <v>0.43548387096774194</v>
      </c>
      <c r="K50" s="9"/>
      <c r="L50" s="9"/>
      <c r="M50" s="30"/>
      <c r="N50" s="26"/>
    </row>
    <row r="51" spans="1:51" ht="14.4" customHeight="1" x14ac:dyDescent="0.3">
      <c r="A51" s="31"/>
      <c r="B51" s="31"/>
      <c r="C51" s="2" t="s">
        <v>29</v>
      </c>
      <c r="D51" s="2"/>
      <c r="E51" s="2"/>
      <c r="F51" s="46">
        <f>SUM(F49:F50)</f>
        <v>3150</v>
      </c>
      <c r="G51" s="47">
        <f>SUM(G49:G50)</f>
        <v>2.8</v>
      </c>
      <c r="H51" s="44">
        <f>SUM(H49:H50)</f>
        <v>0.50806451612903225</v>
      </c>
      <c r="K51" s="9"/>
      <c r="L51" s="9"/>
      <c r="M51" s="30"/>
      <c r="N51" s="26"/>
    </row>
    <row r="52" spans="1:51" ht="14.4" customHeight="1" x14ac:dyDescent="0.3">
      <c r="A52" s="31"/>
      <c r="B52" s="31"/>
      <c r="F52" s="46"/>
      <c r="K52" s="9"/>
      <c r="L52" s="9"/>
      <c r="M52" s="30"/>
      <c r="N52" s="26"/>
    </row>
    <row r="53" spans="1:51" ht="14.4" customHeight="1" x14ac:dyDescent="0.3">
      <c r="A53" s="31"/>
      <c r="B53" s="31"/>
      <c r="C53" t="s">
        <v>63</v>
      </c>
      <c r="F53" s="46">
        <v>1850</v>
      </c>
      <c r="G53">
        <v>1.7</v>
      </c>
      <c r="H53" s="44">
        <f>F53/$F$57</f>
        <v>0.29838709677419356</v>
      </c>
      <c r="K53" s="9"/>
      <c r="L53" s="9"/>
      <c r="M53" s="30"/>
      <c r="N53" s="26"/>
      <c r="Y53" s="33"/>
      <c r="Z53" s="33"/>
      <c r="AA53" s="33"/>
      <c r="AB53" s="33"/>
      <c r="AC53" s="33"/>
    </row>
    <row r="54" spans="1:51" ht="14.4" customHeight="1" x14ac:dyDescent="0.3">
      <c r="A54" s="31"/>
      <c r="B54" s="31"/>
      <c r="C54" t="s">
        <v>62</v>
      </c>
      <c r="F54" s="46">
        <v>1200</v>
      </c>
      <c r="G54">
        <v>1.1000000000000001</v>
      </c>
      <c r="H54" s="44">
        <f>F54/$F$57</f>
        <v>0.19354838709677419</v>
      </c>
      <c r="K54" s="9"/>
      <c r="L54" s="9"/>
      <c r="M54" s="30"/>
      <c r="N54" s="26"/>
      <c r="Y54" s="33"/>
      <c r="Z54" s="33"/>
      <c r="AA54" s="33"/>
      <c r="AB54" s="33"/>
      <c r="AC54" s="33"/>
    </row>
    <row r="55" spans="1:51" ht="14.4" customHeight="1" x14ac:dyDescent="0.3">
      <c r="A55" s="31"/>
      <c r="B55" s="31"/>
      <c r="C55" t="s">
        <v>66</v>
      </c>
      <c r="F55" s="46">
        <f>SUM(F53:F54)</f>
        <v>3050</v>
      </c>
      <c r="G55" s="48">
        <f>SUM(G53:G54)</f>
        <v>2.8</v>
      </c>
      <c r="H55" s="44">
        <f>SUM(H53:H54)</f>
        <v>0.49193548387096775</v>
      </c>
      <c r="K55" s="9"/>
      <c r="L55" s="9"/>
      <c r="M55" s="30"/>
      <c r="N55" s="26"/>
      <c r="Y55" s="33"/>
      <c r="Z55" s="33"/>
      <c r="AA55" s="33"/>
      <c r="AB55" s="33"/>
      <c r="AC55" s="33"/>
    </row>
    <row r="56" spans="1:51" ht="14.4" customHeight="1" x14ac:dyDescent="0.3">
      <c r="A56" s="31"/>
      <c r="B56" s="28"/>
      <c r="F56" s="46"/>
      <c r="G56" s="48"/>
      <c r="H56" s="44"/>
      <c r="K56" s="9"/>
      <c r="L56" s="9"/>
      <c r="M56" s="30"/>
      <c r="N56" s="26"/>
      <c r="Y56" s="33"/>
      <c r="Z56" s="33"/>
      <c r="AA56" s="33"/>
      <c r="AB56" s="33"/>
      <c r="AC56" s="33"/>
    </row>
    <row r="57" spans="1:51" ht="14.4" customHeight="1" x14ac:dyDescent="0.3">
      <c r="A57" s="31"/>
      <c r="B57" s="28"/>
      <c r="C57" s="49" t="s">
        <v>31</v>
      </c>
      <c r="D57" s="50"/>
      <c r="E57" s="50"/>
      <c r="F57" s="16">
        <f>SUM(F51,F55)</f>
        <v>6200</v>
      </c>
      <c r="G57" s="17">
        <f>SUM(G51,G55)</f>
        <v>5.6</v>
      </c>
      <c r="H57" s="18">
        <f>SUM(H55,H51)</f>
        <v>1</v>
      </c>
      <c r="M57" s="30"/>
      <c r="N57" s="26"/>
      <c r="Y57" s="33"/>
      <c r="Z57" s="33"/>
      <c r="AA57" s="33"/>
      <c r="AB57" s="33"/>
      <c r="AC57" s="33"/>
    </row>
    <row r="58" spans="1:51" ht="14.4" customHeight="1" x14ac:dyDescent="0.3">
      <c r="A58" s="31"/>
      <c r="B58" s="28"/>
      <c r="C58" s="10"/>
      <c r="F58" s="46"/>
      <c r="M58" s="30"/>
      <c r="N58" s="26"/>
      <c r="Y58" s="33"/>
      <c r="Z58" s="33"/>
      <c r="AA58" s="33"/>
      <c r="AB58" s="33"/>
      <c r="AC58" s="33"/>
    </row>
    <row r="59" spans="1:51" ht="14.4" customHeight="1" x14ac:dyDescent="0.3">
      <c r="A59" s="31"/>
      <c r="B59" s="31"/>
      <c r="C59" s="12" t="s">
        <v>26</v>
      </c>
      <c r="D59" s="12"/>
      <c r="E59" s="12"/>
      <c r="F59" s="14"/>
      <c r="G59" s="12"/>
      <c r="H59" s="12"/>
      <c r="M59" s="30"/>
      <c r="N59" s="26"/>
      <c r="Y59" s="33"/>
      <c r="Z59" s="33"/>
      <c r="AA59" s="33"/>
      <c r="AB59" s="33"/>
      <c r="AC59" s="33"/>
    </row>
    <row r="60" spans="1:51" ht="14.4" customHeight="1" x14ac:dyDescent="0.3">
      <c r="A60" s="31"/>
      <c r="B60" s="31"/>
      <c r="F60" s="15" t="s">
        <v>3</v>
      </c>
      <c r="G60" s="3" t="s">
        <v>27</v>
      </c>
      <c r="H60" s="3" t="s">
        <v>28</v>
      </c>
      <c r="M60" s="30"/>
      <c r="N60" s="26"/>
      <c r="Y60" s="33"/>
      <c r="Z60" s="33"/>
      <c r="AA60" s="33"/>
      <c r="AB60" s="33"/>
      <c r="AC60" s="33"/>
      <c r="AD60" s="33"/>
      <c r="AE60" s="33"/>
    </row>
    <row r="61" spans="1:51" ht="14.4" customHeight="1" x14ac:dyDescent="0.3">
      <c r="A61" s="31"/>
      <c r="B61" s="31"/>
      <c r="C61" t="s">
        <v>64</v>
      </c>
      <c r="F61" s="46">
        <f>124*24.5</f>
        <v>3038</v>
      </c>
      <c r="G61" s="51">
        <f>F61/$F$10</f>
        <v>2.7394048692515778</v>
      </c>
      <c r="H61" s="44">
        <f>F61/$F$67</f>
        <v>0.49</v>
      </c>
      <c r="M61" s="30"/>
      <c r="N61" s="26"/>
      <c r="Y61" s="33"/>
      <c r="Z61" s="33"/>
      <c r="AA61" s="33"/>
      <c r="AB61" s="33"/>
      <c r="AC61" s="33"/>
      <c r="AD61" s="33"/>
      <c r="AE61" s="33"/>
    </row>
    <row r="62" spans="1:51" ht="14.4" customHeight="1" x14ac:dyDescent="0.3">
      <c r="A62" s="31"/>
      <c r="B62" s="31"/>
      <c r="C62" t="s">
        <v>61</v>
      </c>
      <c r="F62" s="46">
        <f>F53</f>
        <v>1850</v>
      </c>
      <c r="G62" s="51">
        <f t="shared" ref="G62:G65" si="0">F62/$F$10</f>
        <v>1.6681695220919748</v>
      </c>
      <c r="H62" s="44">
        <f t="shared" ref="H62:H65" si="1">F62/$F$67</f>
        <v>0.29838709677419356</v>
      </c>
      <c r="M62" s="30"/>
      <c r="N62" s="26"/>
      <c r="Y62" s="33"/>
      <c r="Z62" s="33"/>
      <c r="AA62" s="33"/>
      <c r="AB62" s="33"/>
      <c r="AC62" s="33"/>
      <c r="AD62" s="33"/>
      <c r="AE62" s="33"/>
    </row>
    <row r="63" spans="1:51" ht="14.4" customHeight="1" x14ac:dyDescent="0.3">
      <c r="A63" s="31"/>
      <c r="B63" s="31"/>
      <c r="C63" t="s">
        <v>34</v>
      </c>
      <c r="F63" s="46">
        <v>1250</v>
      </c>
      <c r="G63" s="51">
        <f t="shared" si="0"/>
        <v>1.127141568981064</v>
      </c>
      <c r="H63" s="44">
        <f t="shared" si="1"/>
        <v>0.20161290322580644</v>
      </c>
      <c r="M63" s="30"/>
      <c r="N63" s="26"/>
      <c r="Y63" s="33"/>
      <c r="Z63" s="33"/>
      <c r="AA63" s="33"/>
      <c r="AB63" s="33"/>
      <c r="AC63" s="33"/>
      <c r="AD63" s="33"/>
      <c r="AE63" s="33"/>
    </row>
    <row r="64" spans="1:51" ht="14.4" customHeight="1" x14ac:dyDescent="0.3">
      <c r="A64" s="31"/>
      <c r="B64" s="31"/>
      <c r="C64" t="s">
        <v>65</v>
      </c>
      <c r="F64" s="46">
        <v>42</v>
      </c>
      <c r="G64" s="51">
        <f t="shared" si="0"/>
        <v>3.787195671776375E-2</v>
      </c>
      <c r="H64" s="44">
        <f t="shared" si="1"/>
        <v>6.7741935483870966E-3</v>
      </c>
      <c r="M64" s="30"/>
      <c r="N64" s="26"/>
      <c r="Y64" s="33"/>
      <c r="Z64" s="33"/>
      <c r="AA64" s="33"/>
      <c r="AB64" s="33"/>
      <c r="AC64" s="33"/>
    </row>
    <row r="65" spans="1:99" ht="14.4" customHeight="1" x14ac:dyDescent="0.3">
      <c r="A65" s="31"/>
      <c r="B65" s="31"/>
      <c r="C65" t="s">
        <v>30</v>
      </c>
      <c r="F65" s="46">
        <v>20</v>
      </c>
      <c r="G65" s="51">
        <f t="shared" si="0"/>
        <v>1.8034265103697024E-2</v>
      </c>
      <c r="H65" s="44">
        <f t="shared" si="1"/>
        <v>3.2258064516129032E-3</v>
      </c>
      <c r="M65" s="30"/>
      <c r="N65" s="26"/>
      <c r="Y65" s="33"/>
      <c r="Z65" s="33"/>
      <c r="AA65" s="33"/>
      <c r="AB65" s="33"/>
      <c r="AC65" s="33"/>
    </row>
    <row r="66" spans="1:99" ht="14.4" customHeight="1" x14ac:dyDescent="0.3">
      <c r="A66" s="31"/>
      <c r="B66" s="31"/>
      <c r="F66" s="46"/>
      <c r="G66" s="51"/>
      <c r="H66" s="44"/>
      <c r="M66" s="30"/>
      <c r="N66" s="26"/>
      <c r="Y66" s="33"/>
      <c r="Z66" s="33"/>
      <c r="AA66" s="33"/>
      <c r="AB66" s="33"/>
      <c r="AC66" s="33"/>
    </row>
    <row r="67" spans="1:99" ht="14.4" customHeight="1" x14ac:dyDescent="0.3">
      <c r="A67" s="31"/>
      <c r="B67" s="31"/>
      <c r="C67" s="50" t="s">
        <v>32</v>
      </c>
      <c r="D67" s="50"/>
      <c r="E67" s="50"/>
      <c r="F67" s="52">
        <f>SUM(F61:F65)</f>
        <v>6200</v>
      </c>
      <c r="G67" s="53">
        <f>SUM(G61:G65)</f>
        <v>5.5906221821460775</v>
      </c>
      <c r="H67" s="54">
        <f>SUM(H61:H65)</f>
        <v>0.99999999999999989</v>
      </c>
      <c r="M67" s="30"/>
      <c r="N67" s="26"/>
      <c r="Y67" s="33"/>
      <c r="Z67" s="33"/>
      <c r="AA67" s="33"/>
      <c r="AB67" s="33"/>
      <c r="AC67" s="33"/>
    </row>
    <row r="68" spans="1:99" ht="14.4" customHeight="1" x14ac:dyDescent="0.3">
      <c r="A68" s="31"/>
      <c r="B68" s="31"/>
      <c r="F68" s="41"/>
      <c r="G68" s="48"/>
      <c r="H68" s="44"/>
      <c r="M68" s="30"/>
      <c r="N68" s="26"/>
    </row>
    <row r="69" spans="1:99" ht="14.4" customHeight="1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30"/>
      <c r="N69" s="26"/>
    </row>
    <row r="70" spans="1:99" ht="14.4" customHeight="1" x14ac:dyDescent="0.3">
      <c r="A70" s="5" t="s">
        <v>23</v>
      </c>
      <c r="B70" s="32"/>
      <c r="M70" s="30"/>
      <c r="N70" s="26"/>
    </row>
    <row r="71" spans="1:99" ht="14.4" customHeight="1" x14ac:dyDescent="0.3">
      <c r="A71" s="31"/>
      <c r="B71" s="31"/>
      <c r="K71" s="9"/>
      <c r="L71" s="9"/>
      <c r="M71" s="30"/>
      <c r="N71" s="26"/>
    </row>
    <row r="72" spans="1:99" ht="14.4" customHeight="1" collapsed="1" x14ac:dyDescent="0.3">
      <c r="A72" s="31"/>
      <c r="B72" s="31"/>
      <c r="L72" s="9"/>
      <c r="M72" s="30"/>
      <c r="N72" s="26"/>
    </row>
    <row r="73" spans="1:99" s="45" customFormat="1" ht="14.4" customHeight="1" x14ac:dyDescent="0.3">
      <c r="A73" s="31"/>
      <c r="B73" s="31"/>
      <c r="C73" s="55" t="s">
        <v>35</v>
      </c>
      <c r="D73" s="56"/>
      <c r="E73" s="56"/>
      <c r="F73" s="56"/>
      <c r="G73" s="56"/>
      <c r="H73" s="56"/>
      <c r="I73" s="56"/>
      <c r="J73" s="56"/>
      <c r="K73" s="9"/>
      <c r="L73" s="9"/>
      <c r="M73" s="30"/>
      <c r="N73" s="26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</row>
    <row r="74" spans="1:99" ht="14.4" customHeight="1" x14ac:dyDescent="0.3">
      <c r="A74" s="31"/>
      <c r="B74" s="28"/>
      <c r="C74" s="57"/>
      <c r="D74" s="40"/>
      <c r="E74" s="40" t="s">
        <v>68</v>
      </c>
      <c r="F74" s="40" t="s">
        <v>69</v>
      </c>
      <c r="G74" s="40" t="s">
        <v>70</v>
      </c>
      <c r="H74" s="40" t="s">
        <v>71</v>
      </c>
      <c r="I74" s="40" t="s">
        <v>72</v>
      </c>
      <c r="J74" s="40" t="s">
        <v>73</v>
      </c>
      <c r="K74" s="9"/>
      <c r="L74" s="9"/>
      <c r="M74" s="30"/>
      <c r="N74" s="26"/>
    </row>
    <row r="75" spans="1:99" ht="14.4" customHeight="1" x14ac:dyDescent="0.3">
      <c r="A75" s="31"/>
      <c r="B75" s="31"/>
      <c r="C75" t="s">
        <v>9</v>
      </c>
      <c r="E75" s="46">
        <v>15016</v>
      </c>
      <c r="F75" s="46">
        <f>E75*1.015</f>
        <v>15241.239999999998</v>
      </c>
      <c r="G75" s="46">
        <f t="shared" ref="G75:J75" si="2">F75*1.015</f>
        <v>15469.858599999996</v>
      </c>
      <c r="H75" s="46">
        <f t="shared" si="2"/>
        <v>15701.906478999994</v>
      </c>
      <c r="I75" s="46">
        <f t="shared" si="2"/>
        <v>15937.435076184993</v>
      </c>
      <c r="J75" s="46">
        <f t="shared" si="2"/>
        <v>16176.496602327767</v>
      </c>
      <c r="K75" s="9"/>
      <c r="L75" s="9"/>
      <c r="M75" s="30"/>
      <c r="N75" s="26"/>
    </row>
    <row r="76" spans="1:99" ht="14.4" customHeight="1" x14ac:dyDescent="0.3">
      <c r="A76" s="31"/>
      <c r="B76" s="31"/>
      <c r="C76" s="58" t="s">
        <v>55</v>
      </c>
      <c r="E76" s="59"/>
      <c r="F76" s="59">
        <v>1.4999999999999999E-2</v>
      </c>
      <c r="G76" s="59">
        <v>1.4999999999999999E-2</v>
      </c>
      <c r="H76" s="59">
        <v>1.4999999999999999E-2</v>
      </c>
      <c r="I76" s="59">
        <v>1.4999999999999999E-2</v>
      </c>
      <c r="J76" s="59">
        <v>1.4999999999999999E-2</v>
      </c>
      <c r="K76" s="9"/>
      <c r="L76" s="9"/>
      <c r="M76" s="30"/>
      <c r="N76" s="26"/>
    </row>
    <row r="77" spans="1:99" ht="14.4" customHeight="1" x14ac:dyDescent="0.3">
      <c r="A77" s="31"/>
      <c r="B77" s="31"/>
      <c r="E77" s="19"/>
      <c r="F77" s="19"/>
      <c r="G77" s="19"/>
      <c r="H77" s="19"/>
      <c r="I77" s="19"/>
      <c r="J77" s="19"/>
      <c r="K77" s="19"/>
      <c r="L77" s="9"/>
      <c r="M77" s="30"/>
      <c r="N77" s="26"/>
    </row>
    <row r="78" spans="1:99" ht="14.4" customHeight="1" x14ac:dyDescent="0.3">
      <c r="A78" s="31"/>
      <c r="B78" s="31"/>
      <c r="C78" s="41" t="s">
        <v>11</v>
      </c>
      <c r="E78" s="20">
        <v>1109</v>
      </c>
      <c r="F78" s="46">
        <v>1173</v>
      </c>
      <c r="G78" s="46">
        <v>1238</v>
      </c>
      <c r="H78" s="46">
        <v>1303</v>
      </c>
      <c r="I78" s="46">
        <v>1371</v>
      </c>
      <c r="J78" s="46">
        <v>1439</v>
      </c>
      <c r="K78" s="9"/>
      <c r="L78" s="9"/>
      <c r="M78" s="30"/>
      <c r="N78" s="26"/>
    </row>
    <row r="79" spans="1:99" ht="14.4" customHeight="1" x14ac:dyDescent="0.3">
      <c r="A79" s="31"/>
      <c r="B79" s="31"/>
      <c r="C79" s="58" t="s">
        <v>56</v>
      </c>
      <c r="E79" s="59">
        <f>E78/E75</f>
        <v>7.3854555141182734E-2</v>
      </c>
      <c r="F79" s="59">
        <f t="shared" ref="F79:J79" si="3">F78/F75</f>
        <v>7.6962241917324328E-2</v>
      </c>
      <c r="G79" s="59">
        <f t="shared" si="3"/>
        <v>8.0026587961185391E-2</v>
      </c>
      <c r="H79" s="59">
        <f t="shared" si="3"/>
        <v>8.2983553732322579E-2</v>
      </c>
      <c r="I79" s="59">
        <f t="shared" si="3"/>
        <v>8.6023879843040704E-2</v>
      </c>
      <c r="J79" s="59">
        <f t="shared" si="3"/>
        <v>8.8956220581960288E-2</v>
      </c>
      <c r="K79" s="9"/>
      <c r="L79" s="9"/>
      <c r="M79" s="30"/>
      <c r="N79" s="26"/>
    </row>
    <row r="80" spans="1:99" ht="14.4" customHeight="1" x14ac:dyDescent="0.3">
      <c r="A80" s="31"/>
      <c r="B80" s="31"/>
      <c r="L80" s="9"/>
      <c r="M80" s="30"/>
      <c r="N80" s="26"/>
    </row>
    <row r="81" spans="1:14" ht="14.4" customHeight="1" x14ac:dyDescent="0.3">
      <c r="A81" s="31"/>
      <c r="B81" s="31"/>
      <c r="C81" t="s">
        <v>37</v>
      </c>
      <c r="E81" s="46">
        <f>E78-E98</f>
        <v>593</v>
      </c>
      <c r="F81" s="46">
        <f t="shared" ref="F81:J81" si="4">F78-F98</f>
        <v>649</v>
      </c>
      <c r="G81" s="46">
        <f t="shared" si="4"/>
        <v>706</v>
      </c>
      <c r="H81" s="46">
        <f t="shared" si="4"/>
        <v>763</v>
      </c>
      <c r="I81" s="46">
        <f t="shared" si="4"/>
        <v>822</v>
      </c>
      <c r="J81" s="46">
        <f t="shared" si="4"/>
        <v>882</v>
      </c>
      <c r="K81" s="41"/>
      <c r="L81" s="9"/>
      <c r="M81" s="30"/>
      <c r="N81" s="26"/>
    </row>
    <row r="82" spans="1:14" ht="14.4" customHeight="1" x14ac:dyDescent="0.3">
      <c r="A82" s="31"/>
      <c r="B82" s="31"/>
      <c r="C82" s="58" t="s">
        <v>57</v>
      </c>
      <c r="E82" s="59">
        <f>E81/E75</f>
        <v>3.9491209376664893E-2</v>
      </c>
      <c r="F82" s="59">
        <f t="shared" ref="F82:J82" si="5">F81/F75</f>
        <v>4.2581837173353357E-2</v>
      </c>
      <c r="G82" s="59">
        <f t="shared" si="5"/>
        <v>4.5637133360740621E-2</v>
      </c>
      <c r="H82" s="59">
        <f t="shared" si="5"/>
        <v>4.8592825401198872E-2</v>
      </c>
      <c r="I82" s="59">
        <f t="shared" si="5"/>
        <v>5.1576680693639278E-2</v>
      </c>
      <c r="J82" s="59">
        <f t="shared" si="5"/>
        <v>5.4523548681924237E-2</v>
      </c>
      <c r="K82" s="9"/>
      <c r="L82" s="9"/>
      <c r="M82" s="30"/>
      <c r="N82" s="26"/>
    </row>
    <row r="83" spans="1:14" ht="14.4" customHeight="1" x14ac:dyDescent="0.3">
      <c r="A83" s="31"/>
      <c r="B83" s="31"/>
      <c r="C83" s="58"/>
      <c r="E83" s="60"/>
      <c r="F83" s="60"/>
      <c r="G83" s="60"/>
      <c r="H83" s="60"/>
      <c r="I83" s="60"/>
      <c r="J83" s="60"/>
      <c r="K83" s="9"/>
      <c r="L83" s="9"/>
      <c r="M83" s="30"/>
      <c r="N83" s="26"/>
    </row>
    <row r="84" spans="1:14" ht="14.4" customHeight="1" x14ac:dyDescent="0.3">
      <c r="A84" s="31"/>
      <c r="B84" s="31"/>
      <c r="C84" t="s">
        <v>38</v>
      </c>
      <c r="E84" s="46">
        <f>((F49*F36)+(F50*F37))*-1</f>
        <v>-178.875</v>
      </c>
      <c r="F84" s="23">
        <f>E84</f>
        <v>-178.875</v>
      </c>
      <c r="G84" s="23">
        <f>Y98*-1</f>
        <v>0</v>
      </c>
      <c r="H84" s="46">
        <v>-158</v>
      </c>
      <c r="I84" s="46">
        <v>-154</v>
      </c>
      <c r="J84" s="46">
        <v>-151</v>
      </c>
      <c r="L84" s="9"/>
      <c r="M84" s="30"/>
      <c r="N84" s="26"/>
    </row>
    <row r="85" spans="1:14" ht="14.4" customHeight="1" x14ac:dyDescent="0.3">
      <c r="A85" s="31"/>
      <c r="B85" s="31"/>
      <c r="E85" s="46"/>
      <c r="F85" s="46"/>
      <c r="G85" s="46"/>
      <c r="H85" s="46"/>
      <c r="I85" s="46"/>
      <c r="J85" s="46"/>
      <c r="K85" s="41"/>
      <c r="L85" s="9"/>
      <c r="M85" s="30"/>
      <c r="N85" s="26"/>
    </row>
    <row r="86" spans="1:14" ht="14.4" customHeight="1" x14ac:dyDescent="0.3">
      <c r="A86" s="31"/>
      <c r="B86" s="31"/>
      <c r="C86" t="s">
        <v>39</v>
      </c>
      <c r="E86" s="46">
        <f>E81+E84</f>
        <v>414.125</v>
      </c>
      <c r="F86" s="46">
        <f t="shared" ref="F86:J86" si="6">F81+F84</f>
        <v>470.125</v>
      </c>
      <c r="G86" s="46">
        <f t="shared" si="6"/>
        <v>706</v>
      </c>
      <c r="H86" s="46">
        <f t="shared" si="6"/>
        <v>605</v>
      </c>
      <c r="I86" s="46">
        <f t="shared" si="6"/>
        <v>668</v>
      </c>
      <c r="J86" s="46">
        <f t="shared" si="6"/>
        <v>731</v>
      </c>
      <c r="K86" s="41"/>
      <c r="L86" s="9"/>
      <c r="M86" s="30"/>
      <c r="N86" s="26"/>
    </row>
    <row r="87" spans="1:14" ht="14.4" customHeight="1" x14ac:dyDescent="0.3">
      <c r="A87" s="31"/>
      <c r="B87" s="31"/>
      <c r="C87" s="58" t="s">
        <v>57</v>
      </c>
      <c r="E87" s="59">
        <f>E86/E75</f>
        <v>2.7578915823122004E-2</v>
      </c>
      <c r="F87" s="59">
        <f t="shared" ref="F87:J87" si="7">F86/F75</f>
        <v>3.0845587366907158E-2</v>
      </c>
      <c r="G87" s="59">
        <f t="shared" si="7"/>
        <v>4.5637133360740621E-2</v>
      </c>
      <c r="H87" s="59">
        <f t="shared" si="7"/>
        <v>3.853035303764786E-2</v>
      </c>
      <c r="I87" s="59">
        <f t="shared" si="7"/>
        <v>4.191389623278715E-2</v>
      </c>
      <c r="J87" s="59">
        <f t="shared" si="7"/>
        <v>4.5189018238646961E-2</v>
      </c>
      <c r="K87" s="9"/>
      <c r="L87" s="9"/>
      <c r="M87" s="30"/>
      <c r="N87" s="26"/>
    </row>
    <row r="88" spans="1:14" ht="14.4" customHeight="1" x14ac:dyDescent="0.3">
      <c r="A88" s="31"/>
      <c r="B88" s="31"/>
      <c r="E88" s="59"/>
      <c r="F88" s="59"/>
      <c r="G88" s="59"/>
      <c r="H88" s="59"/>
      <c r="I88" s="59"/>
      <c r="J88" s="59"/>
      <c r="K88" s="41"/>
      <c r="L88" s="9"/>
      <c r="M88" s="30"/>
      <c r="N88" s="26"/>
    </row>
    <row r="89" spans="1:14" ht="14.4" customHeight="1" x14ac:dyDescent="0.3">
      <c r="A89" s="31"/>
      <c r="B89" s="31"/>
      <c r="C89" t="s">
        <v>40</v>
      </c>
      <c r="E89" s="46">
        <f t="shared" ref="E89:J89" si="8">(E86*E90)*-1</f>
        <v>-104.773625</v>
      </c>
      <c r="F89" s="46">
        <f t="shared" si="8"/>
        <v>-118.941625</v>
      </c>
      <c r="G89" s="46">
        <f t="shared" si="8"/>
        <v>-178.61799999999999</v>
      </c>
      <c r="H89" s="46">
        <f t="shared" si="8"/>
        <v>-153.065</v>
      </c>
      <c r="I89" s="46">
        <f t="shared" si="8"/>
        <v>-169.00399999999999</v>
      </c>
      <c r="J89" s="46">
        <f t="shared" si="8"/>
        <v>-184.94300000000001</v>
      </c>
      <c r="K89" s="46"/>
      <c r="L89" s="9"/>
      <c r="M89" s="30"/>
      <c r="N89" s="26"/>
    </row>
    <row r="90" spans="1:14" ht="14.4" customHeight="1" x14ac:dyDescent="0.3">
      <c r="A90" s="31"/>
      <c r="B90" s="31"/>
      <c r="C90" s="58" t="s">
        <v>75</v>
      </c>
      <c r="E90" s="59">
        <v>0.253</v>
      </c>
      <c r="F90" s="59">
        <v>0.253</v>
      </c>
      <c r="G90" s="59">
        <v>0.253</v>
      </c>
      <c r="H90" s="59">
        <v>0.253</v>
      </c>
      <c r="I90" s="59">
        <v>0.253</v>
      </c>
      <c r="J90" s="59">
        <v>0.253</v>
      </c>
      <c r="K90" s="9"/>
      <c r="L90" s="9"/>
      <c r="M90" s="30"/>
      <c r="N90" s="26"/>
    </row>
    <row r="91" spans="1:14" ht="14.4" customHeight="1" x14ac:dyDescent="0.3">
      <c r="A91" s="31"/>
      <c r="B91" s="31"/>
      <c r="C91" s="58"/>
      <c r="E91" s="46"/>
      <c r="F91" s="46"/>
      <c r="G91" s="46"/>
      <c r="H91" s="46"/>
      <c r="I91" s="46"/>
      <c r="J91" s="46"/>
      <c r="K91" s="9"/>
      <c r="L91" s="9"/>
      <c r="M91" s="30"/>
      <c r="N91" s="26"/>
    </row>
    <row r="92" spans="1:14" ht="14.4" customHeight="1" x14ac:dyDescent="0.3">
      <c r="A92" s="31"/>
      <c r="B92" s="31"/>
      <c r="C92" t="s">
        <v>41</v>
      </c>
      <c r="E92" s="46">
        <f>E86+E89</f>
        <v>309.35137500000002</v>
      </c>
      <c r="F92" s="21">
        <f t="shared" ref="F92:J92" si="9">F86+F89</f>
        <v>351.18337500000001</v>
      </c>
      <c r="G92" s="46">
        <f t="shared" si="9"/>
        <v>527.38200000000006</v>
      </c>
      <c r="H92" s="46">
        <f t="shared" si="9"/>
        <v>451.935</v>
      </c>
      <c r="I92" s="46">
        <f t="shared" si="9"/>
        <v>498.99599999999998</v>
      </c>
      <c r="J92" s="46">
        <f t="shared" si="9"/>
        <v>546.05700000000002</v>
      </c>
      <c r="K92" s="41"/>
      <c r="L92" s="9"/>
      <c r="M92" s="30"/>
      <c r="N92" s="26"/>
    </row>
    <row r="93" spans="1:14" ht="14.4" customHeight="1" x14ac:dyDescent="0.3">
      <c r="A93" s="31"/>
      <c r="B93" s="31"/>
      <c r="C93" s="58" t="s">
        <v>57</v>
      </c>
      <c r="E93" s="59">
        <f>E92/E75</f>
        <v>2.0601450119872137E-2</v>
      </c>
      <c r="F93" s="59">
        <f t="shared" ref="F93:J93" si="10">F92/F75</f>
        <v>2.3041653763079647E-2</v>
      </c>
      <c r="G93" s="59">
        <f t="shared" si="10"/>
        <v>3.409093862047325E-2</v>
      </c>
      <c r="H93" s="59">
        <f t="shared" si="10"/>
        <v>2.878217371912295E-2</v>
      </c>
      <c r="I93" s="59">
        <f t="shared" si="10"/>
        <v>3.1309680485892E-2</v>
      </c>
      <c r="J93" s="59">
        <f t="shared" si="10"/>
        <v>3.3756196624269277E-2</v>
      </c>
      <c r="K93" s="9"/>
      <c r="L93" s="9"/>
      <c r="M93" s="30"/>
      <c r="N93" s="26"/>
    </row>
    <row r="94" spans="1:14" ht="14.4" customHeight="1" x14ac:dyDescent="0.3">
      <c r="A94" s="31"/>
      <c r="B94" s="31"/>
      <c r="C94" s="58"/>
      <c r="E94" s="59"/>
      <c r="F94" s="46">
        <f>F92+F98-F105+F103</f>
        <v>369.68817500000006</v>
      </c>
      <c r="G94" s="46">
        <f>G92+G98-G105+G103</f>
        <v>546.95437199999992</v>
      </c>
      <c r="H94" s="46" t="s">
        <v>90</v>
      </c>
      <c r="I94" s="46"/>
      <c r="J94" s="46"/>
      <c r="K94" s="9"/>
      <c r="L94" s="9"/>
      <c r="M94" s="30"/>
      <c r="N94" s="26"/>
    </row>
    <row r="95" spans="1:14" ht="14.4" customHeight="1" x14ac:dyDescent="0.3">
      <c r="A95" s="31"/>
      <c r="B95" s="31"/>
      <c r="C95" s="58"/>
      <c r="E95" s="61"/>
      <c r="F95" s="61"/>
      <c r="G95" s="61"/>
      <c r="H95" s="61"/>
      <c r="I95" s="61"/>
      <c r="J95" s="61"/>
      <c r="M95" s="30"/>
      <c r="N95" s="26"/>
    </row>
    <row r="96" spans="1:14" ht="14.4" customHeight="1" x14ac:dyDescent="0.3">
      <c r="A96" s="31"/>
      <c r="B96" s="31"/>
      <c r="C96" s="55" t="s">
        <v>74</v>
      </c>
      <c r="D96" s="56"/>
      <c r="E96" s="56"/>
      <c r="F96" s="56"/>
      <c r="G96" s="56"/>
      <c r="H96" s="56"/>
      <c r="I96" s="56"/>
      <c r="J96" s="56"/>
      <c r="M96" s="30"/>
      <c r="N96" s="26"/>
    </row>
    <row r="97" spans="1:22" ht="14.4" customHeight="1" x14ac:dyDescent="0.3">
      <c r="A97" s="31"/>
      <c r="B97" s="28"/>
      <c r="C97" s="57"/>
      <c r="D97" s="40"/>
      <c r="E97" s="40" t="s">
        <v>68</v>
      </c>
      <c r="F97" s="40" t="s">
        <v>69</v>
      </c>
      <c r="G97" s="40" t="s">
        <v>70</v>
      </c>
      <c r="H97" s="40" t="s">
        <v>71</v>
      </c>
      <c r="I97" s="40" t="s">
        <v>72</v>
      </c>
      <c r="J97" s="40" t="s">
        <v>73</v>
      </c>
      <c r="K97" s="9"/>
      <c r="L97" s="9"/>
      <c r="M97" s="30"/>
      <c r="N97" s="26"/>
    </row>
    <row r="98" spans="1:22" ht="14.4" customHeight="1" x14ac:dyDescent="0.3">
      <c r="A98" s="31"/>
      <c r="B98" s="31"/>
      <c r="C98" t="s">
        <v>13</v>
      </c>
      <c r="E98" s="46">
        <v>516</v>
      </c>
      <c r="F98" s="46">
        <v>524</v>
      </c>
      <c r="G98" s="46">
        <v>532</v>
      </c>
      <c r="H98" s="46">
        <v>540</v>
      </c>
      <c r="I98" s="46">
        <v>549</v>
      </c>
      <c r="J98" s="46">
        <v>557</v>
      </c>
      <c r="K98" s="41"/>
      <c r="L98" s="41"/>
      <c r="M98" s="30"/>
      <c r="N98" s="26"/>
    </row>
    <row r="99" spans="1:22" ht="14.4" customHeight="1" x14ac:dyDescent="0.3">
      <c r="A99" s="31"/>
      <c r="B99" s="31"/>
      <c r="C99" s="58" t="s">
        <v>36</v>
      </c>
      <c r="E99" s="59">
        <f>E98/E75</f>
        <v>3.4363345764517848E-2</v>
      </c>
      <c r="F99" s="59">
        <f t="shared" ref="F99:J99" si="11">F98/F75</f>
        <v>3.4380404743970965E-2</v>
      </c>
      <c r="G99" s="59">
        <f t="shared" si="11"/>
        <v>3.438945460044477E-2</v>
      </c>
      <c r="H99" s="59">
        <f t="shared" si="11"/>
        <v>3.4390728331123707E-2</v>
      </c>
      <c r="I99" s="59">
        <f t="shared" si="11"/>
        <v>3.444719914940142E-2</v>
      </c>
      <c r="J99" s="59">
        <f t="shared" si="11"/>
        <v>3.4432671900036058E-2</v>
      </c>
      <c r="K99" s="9"/>
      <c r="L99" s="9"/>
      <c r="M99" s="30"/>
      <c r="N99" s="26"/>
    </row>
    <row r="100" spans="1:22" ht="14.4" customHeight="1" x14ac:dyDescent="0.3">
      <c r="A100" s="31"/>
      <c r="B100" s="31"/>
      <c r="C100" s="58"/>
      <c r="E100" s="59"/>
      <c r="F100" s="41"/>
      <c r="G100" s="41"/>
      <c r="H100" s="41"/>
      <c r="I100" s="41"/>
      <c r="J100" s="41"/>
      <c r="M100" s="30"/>
      <c r="N100" s="26"/>
    </row>
    <row r="101" spans="1:22" ht="14.4" customHeight="1" x14ac:dyDescent="0.3">
      <c r="A101" s="31"/>
      <c r="B101" s="31"/>
      <c r="C101" t="s">
        <v>42</v>
      </c>
      <c r="E101" s="46">
        <f>E102*E75</f>
        <v>-300.32</v>
      </c>
      <c r="F101" s="46">
        <f t="shared" ref="F101:J101" si="12">F102*F75</f>
        <v>-304.82479999999998</v>
      </c>
      <c r="G101" s="46">
        <f t="shared" si="12"/>
        <v>-309.3971719999999</v>
      </c>
      <c r="H101" s="46">
        <f t="shared" si="12"/>
        <v>-314.03812957999986</v>
      </c>
      <c r="I101" s="46">
        <f t="shared" si="12"/>
        <v>-318.74870152369988</v>
      </c>
      <c r="J101" s="46">
        <f t="shared" si="12"/>
        <v>-323.52993204655536</v>
      </c>
      <c r="K101" s="41"/>
      <c r="L101" s="41"/>
      <c r="M101" s="30"/>
      <c r="N101" s="26"/>
    </row>
    <row r="102" spans="1:22" ht="14.4" customHeight="1" x14ac:dyDescent="0.3">
      <c r="A102" s="31"/>
      <c r="B102" s="31"/>
      <c r="C102" s="58" t="s">
        <v>76</v>
      </c>
      <c r="E102" s="59">
        <v>-0.02</v>
      </c>
      <c r="F102" s="59">
        <v>-0.02</v>
      </c>
      <c r="G102" s="59">
        <v>-0.02</v>
      </c>
      <c r="H102" s="59">
        <v>-0.02</v>
      </c>
      <c r="I102" s="59">
        <v>-0.02</v>
      </c>
      <c r="J102" s="59">
        <v>-0.02</v>
      </c>
      <c r="K102" s="63"/>
      <c r="L102" s="9"/>
      <c r="M102" s="30"/>
      <c r="N102" s="26"/>
    </row>
    <row r="103" spans="1:22" ht="14.4" customHeight="1" x14ac:dyDescent="0.3">
      <c r="A103" s="31"/>
      <c r="B103" s="31"/>
      <c r="C103" t="s">
        <v>45</v>
      </c>
      <c r="E103" s="60"/>
      <c r="F103" s="47">
        <f>(F101-E101)*-1</f>
        <v>4.5047999999999888</v>
      </c>
      <c r="G103" s="47">
        <f t="shared" ref="G103:J103" si="13">(G101-F101)*-1</f>
        <v>4.5723719999999162</v>
      </c>
      <c r="H103" s="47">
        <f t="shared" si="13"/>
        <v>4.6409575799999629</v>
      </c>
      <c r="I103" s="47">
        <f t="shared" si="13"/>
        <v>4.7105719437000175</v>
      </c>
      <c r="J103" s="47">
        <f t="shared" si="13"/>
        <v>4.7812305228554806</v>
      </c>
      <c r="K103" s="63"/>
      <c r="L103" s="41"/>
      <c r="M103" s="30"/>
      <c r="N103" s="26"/>
    </row>
    <row r="104" spans="1:22" ht="14.4" customHeight="1" x14ac:dyDescent="0.3">
      <c r="A104" s="31"/>
      <c r="B104" s="31"/>
      <c r="C104" s="58"/>
      <c r="E104" s="60"/>
      <c r="F104" s="60"/>
      <c r="G104" s="60"/>
      <c r="H104" s="60"/>
      <c r="I104" s="60"/>
      <c r="J104" s="60"/>
      <c r="L104" s="41"/>
      <c r="M104" s="30"/>
      <c r="N104" s="26"/>
    </row>
    <row r="105" spans="1:22" ht="14.4" customHeight="1" x14ac:dyDescent="0.3">
      <c r="A105" s="31"/>
      <c r="B105" s="31"/>
      <c r="C105" t="s">
        <v>44</v>
      </c>
      <c r="E105" s="46">
        <v>502</v>
      </c>
      <c r="F105" s="46">
        <v>510</v>
      </c>
      <c r="G105" s="46">
        <v>517</v>
      </c>
      <c r="H105" s="46">
        <v>525</v>
      </c>
      <c r="I105" s="46">
        <v>533</v>
      </c>
      <c r="J105" s="46">
        <v>541</v>
      </c>
      <c r="K105" s="41"/>
      <c r="L105" s="41"/>
      <c r="M105" s="30"/>
      <c r="N105" s="26"/>
    </row>
    <row r="106" spans="1:22" ht="14.4" customHeight="1" x14ac:dyDescent="0.3">
      <c r="A106" s="31"/>
      <c r="B106" s="31"/>
      <c r="C106" s="58" t="s">
        <v>36</v>
      </c>
      <c r="E106" s="59">
        <f>E105/E75</f>
        <v>3.343100692594566E-2</v>
      </c>
      <c r="F106" s="59">
        <f t="shared" ref="F106:J106" si="14">F105/F75</f>
        <v>3.3461844311880137E-2</v>
      </c>
      <c r="G106" s="59">
        <f t="shared" si="14"/>
        <v>3.3419827121108928E-2</v>
      </c>
      <c r="H106" s="59">
        <f t="shared" si="14"/>
        <v>3.3435430321925828E-2</v>
      </c>
      <c r="I106" s="59">
        <f t="shared" si="14"/>
        <v>3.3443273491131069E-2</v>
      </c>
      <c r="J106" s="59">
        <f t="shared" si="14"/>
        <v>3.3443582581543098E-2</v>
      </c>
      <c r="M106" s="30"/>
      <c r="N106" s="26"/>
    </row>
    <row r="107" spans="1:22" ht="14.4" customHeight="1" collapsed="1" x14ac:dyDescent="0.3">
      <c r="A107" s="31"/>
      <c r="B107" s="31"/>
      <c r="D107" s="58"/>
      <c r="M107" s="30"/>
      <c r="N107" s="26"/>
    </row>
    <row r="108" spans="1:22" ht="14.4" customHeight="1" x14ac:dyDescent="0.3">
      <c r="A108" s="31"/>
      <c r="B108" s="31"/>
      <c r="C108" s="12" t="s">
        <v>43</v>
      </c>
      <c r="D108" s="12"/>
      <c r="E108" s="13"/>
      <c r="F108" s="13"/>
      <c r="G108" s="13"/>
      <c r="H108" s="13"/>
      <c r="I108" s="13"/>
      <c r="J108" s="13"/>
      <c r="M108" s="30"/>
      <c r="N108" s="26"/>
    </row>
    <row r="109" spans="1:22" ht="14.4" customHeight="1" x14ac:dyDescent="0.3">
      <c r="A109" s="31"/>
      <c r="B109" s="31"/>
      <c r="E109" s="40" t="s">
        <v>68</v>
      </c>
      <c r="F109" s="40" t="s">
        <v>69</v>
      </c>
      <c r="G109" s="40" t="s">
        <v>70</v>
      </c>
      <c r="H109" s="40" t="s">
        <v>71</v>
      </c>
      <c r="I109" s="40" t="s">
        <v>72</v>
      </c>
      <c r="J109" s="40" t="s">
        <v>73</v>
      </c>
      <c r="M109" s="30"/>
      <c r="N109" s="26"/>
      <c r="R109" s="27" t="s">
        <v>82</v>
      </c>
      <c r="S109" s="27" t="s">
        <v>43</v>
      </c>
      <c r="T109" s="27" t="s">
        <v>83</v>
      </c>
      <c r="U109" s="27" t="s">
        <v>84</v>
      </c>
      <c r="V109" s="27" t="s">
        <v>85</v>
      </c>
    </row>
    <row r="110" spans="1:22" ht="14.4" customHeight="1" x14ac:dyDescent="0.3">
      <c r="A110" s="31"/>
      <c r="B110" s="31"/>
      <c r="C110" t="s">
        <v>41</v>
      </c>
      <c r="E110" s="46">
        <f>E92</f>
        <v>309.35137500000002</v>
      </c>
      <c r="F110" s="46">
        <f t="shared" ref="F110:J110" si="15">F92</f>
        <v>351.18337500000001</v>
      </c>
      <c r="G110" s="46">
        <f t="shared" si="15"/>
        <v>527.38200000000006</v>
      </c>
      <c r="H110" s="46">
        <f t="shared" si="15"/>
        <v>451.935</v>
      </c>
      <c r="I110" s="46">
        <f t="shared" si="15"/>
        <v>498.99599999999998</v>
      </c>
      <c r="J110" s="46">
        <f t="shared" si="15"/>
        <v>546.05700000000002</v>
      </c>
      <c r="K110" t="s">
        <v>77</v>
      </c>
      <c r="M110" s="30"/>
      <c r="N110" s="26"/>
      <c r="R110" s="27" t="s">
        <v>68</v>
      </c>
      <c r="S110" s="62" t="s">
        <v>78</v>
      </c>
      <c r="T110" s="62" t="s">
        <v>78</v>
      </c>
      <c r="U110" s="62" t="s">
        <v>78</v>
      </c>
      <c r="V110" s="62">
        <v>0</v>
      </c>
    </row>
    <row r="111" spans="1:22" ht="14.4" customHeight="1" x14ac:dyDescent="0.3">
      <c r="A111" s="31"/>
      <c r="B111" s="31"/>
      <c r="C111" t="s">
        <v>13</v>
      </c>
      <c r="E111" s="46">
        <f>E98</f>
        <v>516</v>
      </c>
      <c r="F111" s="46">
        <f t="shared" ref="F111:J111" si="16">F98</f>
        <v>524</v>
      </c>
      <c r="G111" s="46">
        <f t="shared" si="16"/>
        <v>532</v>
      </c>
      <c r="H111" s="46">
        <f t="shared" si="16"/>
        <v>540</v>
      </c>
      <c r="I111" s="46">
        <f t="shared" si="16"/>
        <v>549</v>
      </c>
      <c r="J111" s="46">
        <f t="shared" si="16"/>
        <v>557</v>
      </c>
      <c r="K111" t="s">
        <v>77</v>
      </c>
      <c r="M111" s="30"/>
      <c r="N111" s="26"/>
      <c r="R111" s="27" t="s">
        <v>69</v>
      </c>
      <c r="S111" s="62">
        <v>370</v>
      </c>
      <c r="T111" s="62">
        <v>-370</v>
      </c>
      <c r="U111" s="62">
        <v>0</v>
      </c>
      <c r="V111" s="62">
        <v>0</v>
      </c>
    </row>
    <row r="112" spans="1:22" ht="14.4" customHeight="1" x14ac:dyDescent="0.3">
      <c r="A112" s="31"/>
      <c r="B112" s="31"/>
      <c r="C112" t="s">
        <v>44</v>
      </c>
      <c r="E112" s="46">
        <f>E105</f>
        <v>502</v>
      </c>
      <c r="F112" s="46">
        <f t="shared" ref="F112:J112" si="17">F105</f>
        <v>510</v>
      </c>
      <c r="G112" s="46">
        <f t="shared" si="17"/>
        <v>517</v>
      </c>
      <c r="H112" s="46">
        <f t="shared" si="17"/>
        <v>525</v>
      </c>
      <c r="I112" s="46">
        <f t="shared" si="17"/>
        <v>533</v>
      </c>
      <c r="J112" s="46">
        <f t="shared" si="17"/>
        <v>541</v>
      </c>
      <c r="K112" t="s">
        <v>78</v>
      </c>
      <c r="M112" s="30"/>
      <c r="N112" s="26"/>
      <c r="R112" s="27" t="s">
        <v>70</v>
      </c>
      <c r="S112" s="62">
        <v>426</v>
      </c>
      <c r="T112" s="62">
        <v>-80</v>
      </c>
      <c r="U112" s="62">
        <v>346</v>
      </c>
      <c r="V112" s="62">
        <v>346</v>
      </c>
    </row>
    <row r="113" spans="1:22" ht="14.4" customHeight="1" x14ac:dyDescent="0.3">
      <c r="A113" s="31"/>
      <c r="B113" s="31"/>
      <c r="C113" t="s">
        <v>45</v>
      </c>
      <c r="E113" s="47">
        <f>E103</f>
        <v>0</v>
      </c>
      <c r="F113" s="47">
        <f t="shared" ref="F113:J113" si="18">F103</f>
        <v>4.5047999999999888</v>
      </c>
      <c r="G113" s="47">
        <f t="shared" si="18"/>
        <v>4.5723719999999162</v>
      </c>
      <c r="H113" s="47">
        <f t="shared" si="18"/>
        <v>4.6409575799999629</v>
      </c>
      <c r="I113" s="47">
        <f t="shared" si="18"/>
        <v>4.7105719437000175</v>
      </c>
      <c r="J113" s="47">
        <f t="shared" si="18"/>
        <v>4.7812305228554806</v>
      </c>
      <c r="K113" t="s">
        <v>77</v>
      </c>
      <c r="M113" s="30"/>
      <c r="N113" s="26"/>
      <c r="R113" s="27" t="s">
        <v>71</v>
      </c>
      <c r="S113" s="62">
        <v>472</v>
      </c>
      <c r="T113" s="62">
        <v>0</v>
      </c>
      <c r="U113" s="62">
        <v>472</v>
      </c>
      <c r="V113" s="62">
        <v>818</v>
      </c>
    </row>
    <row r="114" spans="1:22" ht="14.4" customHeight="1" x14ac:dyDescent="0.3">
      <c r="A114" s="31"/>
      <c r="B114" s="28"/>
      <c r="C114" s="75" t="s">
        <v>43</v>
      </c>
      <c r="D114" s="75"/>
      <c r="E114" s="76">
        <f>E110+E111-E112+E113</f>
        <v>323.35137499999996</v>
      </c>
      <c r="F114" s="76">
        <f t="shared" ref="F114:J114" si="19">F110+F111-F112+F113</f>
        <v>369.68817500000006</v>
      </c>
      <c r="G114" s="76">
        <f t="shared" si="19"/>
        <v>546.95437199999992</v>
      </c>
      <c r="H114" s="76">
        <f t="shared" si="19"/>
        <v>471.57595757999991</v>
      </c>
      <c r="I114" s="76">
        <f t="shared" si="19"/>
        <v>519.70657194370006</v>
      </c>
      <c r="J114" s="76">
        <f t="shared" si="19"/>
        <v>566.8382305228555</v>
      </c>
      <c r="M114" s="30"/>
      <c r="N114" s="26"/>
      <c r="R114" s="27" t="s">
        <v>72</v>
      </c>
      <c r="S114" s="62">
        <v>520</v>
      </c>
      <c r="T114" s="62">
        <v>0</v>
      </c>
      <c r="U114" s="62">
        <v>520</v>
      </c>
      <c r="V114" s="62">
        <v>1338</v>
      </c>
    </row>
    <row r="115" spans="1:22" ht="14.4" customHeight="1" x14ac:dyDescent="0.3">
      <c r="A115" s="31"/>
      <c r="B115" s="31"/>
      <c r="M115" s="30"/>
      <c r="N115" s="26"/>
      <c r="R115" s="27" t="s">
        <v>73</v>
      </c>
      <c r="S115" s="62">
        <v>567</v>
      </c>
      <c r="T115" s="62">
        <v>0</v>
      </c>
      <c r="U115" s="62">
        <v>567</v>
      </c>
      <c r="V115" s="62">
        <v>1905</v>
      </c>
    </row>
    <row r="116" spans="1:22" ht="14.4" customHeight="1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30"/>
      <c r="N116" s="26"/>
    </row>
    <row r="117" spans="1:22" ht="14.4" customHeight="1" x14ac:dyDescent="0.3">
      <c r="A117" s="22" t="s">
        <v>46</v>
      </c>
      <c r="B117" s="32"/>
      <c r="M117" s="30"/>
      <c r="N117" s="26"/>
    </row>
    <row r="118" spans="1:22" ht="14.4" customHeight="1" x14ac:dyDescent="0.3">
      <c r="A118" s="31"/>
      <c r="B118" s="31"/>
      <c r="M118" s="30"/>
      <c r="N118" s="26"/>
    </row>
    <row r="119" spans="1:22" ht="14.4" customHeight="1" x14ac:dyDescent="0.3">
      <c r="A119" s="31"/>
      <c r="B119" s="31"/>
      <c r="C119" s="12"/>
      <c r="D119" s="12"/>
      <c r="E119" s="13"/>
      <c r="F119" s="13"/>
      <c r="G119" s="13"/>
      <c r="H119" s="13"/>
      <c r="I119" s="13"/>
      <c r="J119" s="13"/>
      <c r="M119" s="30"/>
      <c r="N119" s="26"/>
    </row>
    <row r="120" spans="1:22" ht="14.4" customHeight="1" x14ac:dyDescent="0.3">
      <c r="A120" s="31"/>
      <c r="B120" s="31"/>
      <c r="E120" s="40" t="s">
        <v>68</v>
      </c>
      <c r="F120" s="40" t="s">
        <v>69</v>
      </c>
      <c r="G120" s="40" t="s">
        <v>70</v>
      </c>
      <c r="H120" s="40" t="s">
        <v>71</v>
      </c>
      <c r="I120" s="40" t="s">
        <v>72</v>
      </c>
      <c r="J120" s="40" t="s">
        <v>73</v>
      </c>
      <c r="M120" s="30"/>
      <c r="N120" s="26"/>
    </row>
    <row r="121" spans="1:22" ht="14.4" customHeight="1" x14ac:dyDescent="0.3">
      <c r="A121" s="31"/>
      <c r="B121" s="31"/>
      <c r="C121" s="2" t="s">
        <v>5</v>
      </c>
      <c r="M121" s="30"/>
      <c r="N121" s="26"/>
    </row>
    <row r="122" spans="1:22" ht="14.4" customHeight="1" x14ac:dyDescent="0.3">
      <c r="A122" s="31"/>
      <c r="B122" s="31"/>
      <c r="C122" t="s">
        <v>81</v>
      </c>
      <c r="E122" s="64"/>
      <c r="F122" s="64">
        <v>450</v>
      </c>
      <c r="G122" s="64">
        <v>80</v>
      </c>
      <c r="H122" s="64">
        <v>0</v>
      </c>
      <c r="I122" s="64">
        <v>0</v>
      </c>
      <c r="J122" s="64">
        <v>0</v>
      </c>
      <c r="M122" s="30"/>
      <c r="N122" s="26"/>
    </row>
    <row r="123" spans="1:22" ht="14.4" customHeight="1" x14ac:dyDescent="0.3">
      <c r="A123" s="31"/>
      <c r="B123" s="31"/>
      <c r="C123" t="s">
        <v>38</v>
      </c>
      <c r="E123" s="64"/>
      <c r="F123" s="72">
        <f>F122*$F$36*-1</f>
        <v>-30.375000000000004</v>
      </c>
      <c r="G123" s="72">
        <f>G122*$F$36*-1</f>
        <v>-5.4</v>
      </c>
      <c r="H123" s="64">
        <f t="shared" ref="H123:J123" si="20">H122*$F$36*-1</f>
        <v>0</v>
      </c>
      <c r="I123" s="64">
        <f t="shared" si="20"/>
        <v>0</v>
      </c>
      <c r="J123" s="64">
        <f t="shared" si="20"/>
        <v>0</v>
      </c>
      <c r="M123" s="30"/>
      <c r="N123" s="26"/>
    </row>
    <row r="124" spans="1:22" ht="14.4" customHeight="1" x14ac:dyDescent="0.3">
      <c r="A124" s="31"/>
      <c r="B124" s="31"/>
      <c r="C124" t="s">
        <v>79</v>
      </c>
      <c r="E124" s="64"/>
      <c r="F124" s="64">
        <v>-370</v>
      </c>
      <c r="G124" s="64">
        <v>-80</v>
      </c>
      <c r="H124" s="64">
        <v>0</v>
      </c>
      <c r="I124" s="64">
        <v>0</v>
      </c>
      <c r="J124" s="64">
        <v>0</v>
      </c>
      <c r="M124" s="30"/>
      <c r="N124" s="26"/>
    </row>
    <row r="125" spans="1:22" ht="14.4" customHeight="1" x14ac:dyDescent="0.3">
      <c r="A125" s="31"/>
      <c r="B125" s="31"/>
      <c r="C125" s="73" t="s">
        <v>80</v>
      </c>
      <c r="D125" s="73"/>
      <c r="E125" s="74">
        <v>450</v>
      </c>
      <c r="F125" s="74">
        <f>F122+F124</f>
        <v>80</v>
      </c>
      <c r="G125" s="74">
        <f t="shared" ref="G125:J125" si="21">G122+G124</f>
        <v>0</v>
      </c>
      <c r="H125" s="74">
        <f t="shared" si="21"/>
        <v>0</v>
      </c>
      <c r="I125" s="74">
        <f t="shared" si="21"/>
        <v>0</v>
      </c>
      <c r="J125" s="74">
        <f t="shared" si="21"/>
        <v>0</v>
      </c>
      <c r="M125" s="30"/>
      <c r="N125" s="26"/>
    </row>
    <row r="126" spans="1:22" ht="14.4" customHeight="1" x14ac:dyDescent="0.3">
      <c r="A126" s="31"/>
      <c r="B126" s="31"/>
      <c r="E126" s="64"/>
      <c r="F126" s="64"/>
      <c r="G126" s="64"/>
      <c r="H126" s="64"/>
      <c r="I126" s="64"/>
      <c r="J126" s="64"/>
      <c r="M126" s="30"/>
      <c r="N126" s="26"/>
    </row>
    <row r="127" spans="1:22" ht="14.4" customHeight="1" x14ac:dyDescent="0.3">
      <c r="A127" s="31"/>
      <c r="B127" s="31"/>
      <c r="C127" s="2" t="s">
        <v>6</v>
      </c>
      <c r="E127" s="64"/>
      <c r="F127" s="64"/>
      <c r="G127" s="64"/>
      <c r="H127" s="64"/>
      <c r="I127" s="64"/>
      <c r="J127" s="64"/>
      <c r="M127" s="30"/>
      <c r="N127" s="26"/>
    </row>
    <row r="128" spans="1:22" ht="14.4" customHeight="1" x14ac:dyDescent="0.3">
      <c r="A128" s="31"/>
      <c r="B128" s="31"/>
      <c r="C128" t="s">
        <v>81</v>
      </c>
      <c r="E128" s="64"/>
      <c r="F128" s="64">
        <v>2700</v>
      </c>
      <c r="G128" s="64">
        <v>2700</v>
      </c>
      <c r="H128" s="64">
        <v>2700</v>
      </c>
      <c r="I128" s="64">
        <v>2700</v>
      </c>
      <c r="J128" s="64">
        <v>2700</v>
      </c>
      <c r="L128" s="41"/>
      <c r="M128" s="30"/>
      <c r="N128" s="26"/>
    </row>
    <row r="129" spans="1:14" ht="14.4" customHeight="1" x14ac:dyDescent="0.3">
      <c r="A129" s="31"/>
      <c r="B129" s="31"/>
      <c r="C129" t="s">
        <v>38</v>
      </c>
      <c r="E129" s="64"/>
      <c r="F129" s="72">
        <f>F128*$F$37*-1</f>
        <v>-148.5</v>
      </c>
      <c r="G129" s="72">
        <f t="shared" ref="G129:J129" si="22">G128*$F$37*-1</f>
        <v>-148.5</v>
      </c>
      <c r="H129" s="72">
        <f t="shared" si="22"/>
        <v>-148.5</v>
      </c>
      <c r="I129" s="72">
        <f t="shared" si="22"/>
        <v>-148.5</v>
      </c>
      <c r="J129" s="72">
        <f t="shared" si="22"/>
        <v>-148.5</v>
      </c>
      <c r="K129" s="47"/>
      <c r="L129" s="41"/>
      <c r="M129" s="30"/>
      <c r="N129" s="26"/>
    </row>
    <row r="130" spans="1:14" ht="14.4" customHeight="1" x14ac:dyDescent="0.3">
      <c r="A130" s="31"/>
      <c r="B130" s="31"/>
      <c r="C130" t="s">
        <v>79</v>
      </c>
      <c r="E130" s="64"/>
      <c r="F130" s="64">
        <v>0</v>
      </c>
      <c r="G130" s="64">
        <v>0</v>
      </c>
      <c r="H130" s="64">
        <v>0</v>
      </c>
      <c r="I130" s="64">
        <v>0</v>
      </c>
      <c r="J130" s="64">
        <v>0</v>
      </c>
      <c r="L130" s="34"/>
      <c r="M130" s="30"/>
      <c r="N130" s="26"/>
    </row>
    <row r="131" spans="1:14" ht="14.4" customHeight="1" x14ac:dyDescent="0.3">
      <c r="A131" s="31"/>
      <c r="B131" s="31"/>
      <c r="C131" s="73" t="s">
        <v>80</v>
      </c>
      <c r="D131" s="73"/>
      <c r="E131" s="74">
        <v>2700</v>
      </c>
      <c r="F131" s="74">
        <v>2700</v>
      </c>
      <c r="G131" s="74">
        <v>2700</v>
      </c>
      <c r="H131" s="74">
        <v>2700</v>
      </c>
      <c r="I131" s="74">
        <v>2700</v>
      </c>
      <c r="J131" s="74">
        <v>2700</v>
      </c>
      <c r="K131" s="4"/>
      <c r="L131" s="4"/>
      <c r="M131" s="30"/>
      <c r="N131" s="26"/>
    </row>
    <row r="132" spans="1:14" ht="14.4" customHeight="1" x14ac:dyDescent="0.3">
      <c r="A132" s="31"/>
      <c r="B132" s="31"/>
      <c r="E132" s="64"/>
      <c r="F132" s="64"/>
      <c r="G132" s="64"/>
      <c r="H132" s="64"/>
      <c r="I132" s="64"/>
      <c r="J132" s="64"/>
      <c r="M132" s="30"/>
      <c r="N132" s="26"/>
    </row>
    <row r="133" spans="1:14" ht="14.4" customHeight="1" x14ac:dyDescent="0.3">
      <c r="A133" s="31"/>
      <c r="B133" s="31"/>
      <c r="C133" s="2" t="s">
        <v>29</v>
      </c>
      <c r="E133" s="64"/>
      <c r="F133" s="64"/>
      <c r="G133" s="64"/>
      <c r="H133" s="64"/>
      <c r="I133" s="64"/>
      <c r="J133" s="64"/>
      <c r="M133" s="30"/>
      <c r="N133" s="26"/>
    </row>
    <row r="134" spans="1:14" ht="14.4" customHeight="1" x14ac:dyDescent="0.3">
      <c r="A134" s="31"/>
      <c r="B134" s="31"/>
      <c r="C134" t="s">
        <v>81</v>
      </c>
      <c r="E134" s="64"/>
      <c r="F134" s="64">
        <f>F128+F122</f>
        <v>3150</v>
      </c>
      <c r="G134" s="64">
        <f>G128+G122</f>
        <v>2780</v>
      </c>
      <c r="H134" s="64">
        <f t="shared" ref="H134:J134" si="23">H128+H122</f>
        <v>2700</v>
      </c>
      <c r="I134" s="64">
        <f t="shared" si="23"/>
        <v>2700</v>
      </c>
      <c r="J134" s="64">
        <f t="shared" si="23"/>
        <v>2700</v>
      </c>
      <c r="M134" s="30"/>
      <c r="N134" s="26"/>
    </row>
    <row r="135" spans="1:14" ht="14.4" customHeight="1" x14ac:dyDescent="0.3">
      <c r="A135" s="31"/>
      <c r="B135" s="31"/>
      <c r="C135" t="s">
        <v>38</v>
      </c>
      <c r="E135" s="64"/>
      <c r="F135" s="72">
        <f>F129+F123</f>
        <v>-178.875</v>
      </c>
      <c r="G135" s="72">
        <f t="shared" ref="G135:J135" si="24">G129+G123</f>
        <v>-153.9</v>
      </c>
      <c r="H135" s="72">
        <f t="shared" si="24"/>
        <v>-148.5</v>
      </c>
      <c r="I135" s="72">
        <f t="shared" si="24"/>
        <v>-148.5</v>
      </c>
      <c r="J135" s="72">
        <f t="shared" si="24"/>
        <v>-148.5</v>
      </c>
      <c r="M135" s="30"/>
      <c r="N135" s="26"/>
    </row>
    <row r="136" spans="1:14" ht="14.4" customHeight="1" x14ac:dyDescent="0.3">
      <c r="A136" s="31"/>
      <c r="B136" s="31"/>
      <c r="C136" t="s">
        <v>79</v>
      </c>
      <c r="E136" s="64"/>
      <c r="F136" s="64">
        <f>F130+F124</f>
        <v>-370</v>
      </c>
      <c r="G136" s="64">
        <f t="shared" ref="G136:J136" si="25">G130+G124</f>
        <v>-80</v>
      </c>
      <c r="H136" s="64">
        <f t="shared" si="25"/>
        <v>0</v>
      </c>
      <c r="I136" s="64">
        <f t="shared" si="25"/>
        <v>0</v>
      </c>
      <c r="J136" s="64">
        <f t="shared" si="25"/>
        <v>0</v>
      </c>
      <c r="K136" t="s">
        <v>86</v>
      </c>
      <c r="M136" s="30"/>
      <c r="N136" s="26"/>
    </row>
    <row r="137" spans="1:14" ht="14.4" customHeight="1" x14ac:dyDescent="0.3">
      <c r="A137" s="31"/>
      <c r="B137" s="31"/>
      <c r="C137" s="77" t="s">
        <v>80</v>
      </c>
      <c r="D137" s="77"/>
      <c r="E137" s="78">
        <f>E131+E125</f>
        <v>3150</v>
      </c>
      <c r="F137" s="78">
        <f t="shared" ref="F137:J137" si="26">F131+F125</f>
        <v>2780</v>
      </c>
      <c r="G137" s="78">
        <f t="shared" si="26"/>
        <v>2700</v>
      </c>
      <c r="H137" s="78">
        <f t="shared" si="26"/>
        <v>2700</v>
      </c>
      <c r="I137" s="78">
        <f t="shared" si="26"/>
        <v>2700</v>
      </c>
      <c r="J137" s="78">
        <f t="shared" si="26"/>
        <v>2700</v>
      </c>
      <c r="K137">
        <v>1905</v>
      </c>
      <c r="M137" s="30"/>
      <c r="N137" s="26"/>
    </row>
    <row r="138" spans="1:14" ht="14.4" customHeight="1" x14ac:dyDescent="0.3">
      <c r="A138" s="31"/>
      <c r="B138" s="31"/>
      <c r="M138" s="30"/>
      <c r="N138" s="26"/>
    </row>
    <row r="139" spans="1:14" ht="14.4" customHeight="1" x14ac:dyDescent="0.3">
      <c r="A139" s="31"/>
      <c r="B139" s="31"/>
      <c r="C139" s="12" t="s">
        <v>47</v>
      </c>
      <c r="D139" s="12"/>
      <c r="E139" s="13"/>
      <c r="F139" s="13"/>
      <c r="G139" s="13"/>
      <c r="H139" s="13"/>
      <c r="I139" s="13"/>
      <c r="J139" s="13"/>
      <c r="M139" s="30"/>
      <c r="N139" s="26"/>
    </row>
    <row r="140" spans="1:14" ht="14.4" customHeight="1" x14ac:dyDescent="0.3">
      <c r="A140" s="31"/>
      <c r="B140" s="28"/>
      <c r="E140" s="40" t="s">
        <v>68</v>
      </c>
      <c r="F140" s="40" t="s">
        <v>69</v>
      </c>
      <c r="G140" s="40" t="s">
        <v>70</v>
      </c>
      <c r="H140" s="40" t="s">
        <v>71</v>
      </c>
      <c r="I140" s="40" t="s">
        <v>72</v>
      </c>
      <c r="J140" s="40" t="s">
        <v>73</v>
      </c>
      <c r="M140" s="30"/>
      <c r="N140" s="26"/>
    </row>
    <row r="141" spans="1:14" ht="14.4" customHeight="1" x14ac:dyDescent="0.3">
      <c r="A141" s="31"/>
      <c r="B141" s="28"/>
      <c r="C141" s="40" t="s">
        <v>53</v>
      </c>
      <c r="D141" s="40"/>
      <c r="E141" s="40" t="s">
        <v>78</v>
      </c>
      <c r="F141" s="40" t="s">
        <v>78</v>
      </c>
      <c r="G141" s="40" t="s">
        <v>78</v>
      </c>
      <c r="H141" s="40" t="s">
        <v>78</v>
      </c>
      <c r="I141" s="40" t="s">
        <v>78</v>
      </c>
      <c r="J141" s="64">
        <f>J78</f>
        <v>1439</v>
      </c>
      <c r="M141" s="30"/>
      <c r="N141" s="26"/>
    </row>
    <row r="142" spans="1:14" ht="14.4" customHeight="1" x14ac:dyDescent="0.3">
      <c r="A142" s="31"/>
      <c r="B142" s="28"/>
      <c r="C142" s="40" t="s">
        <v>48</v>
      </c>
      <c r="D142" s="40"/>
      <c r="E142" s="40" t="s">
        <v>78</v>
      </c>
      <c r="F142" s="40" t="s">
        <v>78</v>
      </c>
      <c r="G142" s="40" t="s">
        <v>78</v>
      </c>
      <c r="H142" s="40" t="s">
        <v>78</v>
      </c>
      <c r="I142" s="40" t="s">
        <v>78</v>
      </c>
      <c r="J142" s="72">
        <f>G57</f>
        <v>5.6</v>
      </c>
      <c r="M142" s="30"/>
      <c r="N142" s="26"/>
    </row>
    <row r="143" spans="1:14" ht="14.4" customHeight="1" x14ac:dyDescent="0.3">
      <c r="A143" s="31"/>
      <c r="B143" s="28"/>
      <c r="C143" s="40" t="s">
        <v>22</v>
      </c>
      <c r="D143" s="40"/>
      <c r="E143" s="40" t="s">
        <v>78</v>
      </c>
      <c r="F143" s="40" t="s">
        <v>78</v>
      </c>
      <c r="G143" s="40" t="s">
        <v>78</v>
      </c>
      <c r="H143" s="40" t="s">
        <v>78</v>
      </c>
      <c r="I143" s="40" t="s">
        <v>78</v>
      </c>
      <c r="J143" s="64">
        <f>J141*J142</f>
        <v>8058.4</v>
      </c>
      <c r="M143" s="30"/>
      <c r="N143" s="26"/>
    </row>
    <row r="144" spans="1:14" ht="14.4" customHeight="1" x14ac:dyDescent="0.3">
      <c r="A144" s="31"/>
      <c r="B144" s="28"/>
      <c r="C144" s="40" t="s">
        <v>51</v>
      </c>
      <c r="D144" s="40"/>
      <c r="E144" s="40" t="s">
        <v>78</v>
      </c>
      <c r="F144" s="40" t="s">
        <v>78</v>
      </c>
      <c r="G144" s="40" t="s">
        <v>78</v>
      </c>
      <c r="H144" s="40" t="s">
        <v>78</v>
      </c>
      <c r="I144" s="40" t="s">
        <v>78</v>
      </c>
      <c r="J144" s="64">
        <f>J137-K137</f>
        <v>795</v>
      </c>
      <c r="M144" s="30"/>
      <c r="N144" s="26"/>
    </row>
    <row r="145" spans="1:99" ht="14.4" customHeight="1" x14ac:dyDescent="0.3">
      <c r="A145" s="31"/>
      <c r="B145"/>
      <c r="C145" s="45" t="s">
        <v>88</v>
      </c>
      <c r="E145" s="40" t="s">
        <v>78</v>
      </c>
      <c r="F145" s="40" t="s">
        <v>78</v>
      </c>
      <c r="G145" s="40" t="s">
        <v>78</v>
      </c>
      <c r="H145" s="40" t="s">
        <v>78</v>
      </c>
      <c r="I145" s="40" t="s">
        <v>78</v>
      </c>
      <c r="J145" s="46">
        <f>J143-J144</f>
        <v>7263.4</v>
      </c>
      <c r="M145" s="30"/>
      <c r="N145" s="26"/>
    </row>
    <row r="146" spans="1:99" ht="14.4" customHeight="1" x14ac:dyDescent="0.3">
      <c r="A146" s="31"/>
      <c r="B146" s="28"/>
      <c r="C146" s="45" t="s">
        <v>87</v>
      </c>
      <c r="E146" s="40" t="s">
        <v>78</v>
      </c>
      <c r="F146" s="40" t="s">
        <v>78</v>
      </c>
      <c r="G146" s="40" t="s">
        <v>78</v>
      </c>
      <c r="H146" s="40" t="s">
        <v>78</v>
      </c>
      <c r="I146" s="40" t="s">
        <v>78</v>
      </c>
      <c r="J146" s="59">
        <f>F54/F55</f>
        <v>0.39344262295081966</v>
      </c>
      <c r="M146" s="30"/>
      <c r="N146" s="26"/>
    </row>
    <row r="147" spans="1:99" ht="14.4" customHeight="1" x14ac:dyDescent="0.3">
      <c r="A147" s="31"/>
      <c r="B147" s="28"/>
      <c r="C147" s="10" t="s">
        <v>89</v>
      </c>
      <c r="D147" s="65"/>
      <c r="E147" s="40" t="s">
        <v>78</v>
      </c>
      <c r="F147" s="40" t="s">
        <v>78</v>
      </c>
      <c r="G147" s="40" t="s">
        <v>78</v>
      </c>
      <c r="H147" s="40" t="s">
        <v>78</v>
      </c>
      <c r="I147" s="40" t="s">
        <v>78</v>
      </c>
      <c r="J147" s="64">
        <f>J145*J146</f>
        <v>2857.7311475409833</v>
      </c>
      <c r="M147" s="30"/>
      <c r="N147" s="26"/>
    </row>
    <row r="148" spans="1:99" ht="14.4" customHeight="1" x14ac:dyDescent="0.3">
      <c r="A148" s="31"/>
      <c r="B148" s="28"/>
      <c r="C148" s="40"/>
      <c r="D148" s="72"/>
      <c r="E148" s="72"/>
      <c r="F148" s="72"/>
      <c r="G148" s="72"/>
      <c r="H148" s="72"/>
      <c r="I148" s="72"/>
      <c r="J148" s="72"/>
      <c r="M148" s="30"/>
      <c r="N148" s="26"/>
    </row>
    <row r="149" spans="1:99" ht="14.4" customHeight="1" x14ac:dyDescent="0.3">
      <c r="A149" s="31"/>
      <c r="B149" s="28"/>
      <c r="C149" s="40" t="s">
        <v>49</v>
      </c>
      <c r="D149" s="40"/>
      <c r="E149" s="65">
        <v>1200</v>
      </c>
      <c r="F149" s="40" t="s">
        <v>78</v>
      </c>
      <c r="G149" s="40" t="s">
        <v>78</v>
      </c>
      <c r="H149" s="40" t="s">
        <v>78</v>
      </c>
      <c r="I149" s="40" t="s">
        <v>78</v>
      </c>
      <c r="J149" s="72"/>
      <c r="M149" s="30"/>
      <c r="N149" s="26"/>
    </row>
    <row r="150" spans="1:99" ht="14.4" customHeight="1" x14ac:dyDescent="0.3">
      <c r="A150" s="31"/>
      <c r="B150" s="28"/>
      <c r="C150" s="40"/>
      <c r="D150" s="40"/>
      <c r="E150" s="65"/>
      <c r="F150" s="65"/>
      <c r="G150" s="65"/>
      <c r="H150" s="65"/>
      <c r="I150" s="41"/>
      <c r="J150" s="79"/>
      <c r="M150" s="30"/>
      <c r="N150" s="26"/>
    </row>
    <row r="151" spans="1:99" ht="14.4" customHeight="1" x14ac:dyDescent="0.3">
      <c r="A151" s="31"/>
      <c r="B151" s="28"/>
      <c r="C151" s="10" t="s">
        <v>50</v>
      </c>
      <c r="D151" s="65"/>
      <c r="E151" s="65"/>
      <c r="F151" s="65"/>
      <c r="G151" s="65"/>
      <c r="H151" s="65"/>
      <c r="I151" s="41"/>
      <c r="J151" s="72">
        <f>J147/E149</f>
        <v>2.3814426229508197</v>
      </c>
      <c r="K151" s="41"/>
      <c r="L151" s="41"/>
      <c r="M151" s="30"/>
      <c r="N151" s="26"/>
    </row>
    <row r="152" spans="1:99" ht="14.4" customHeight="1" x14ac:dyDescent="0.3">
      <c r="A152" s="31"/>
      <c r="B152" s="28"/>
      <c r="C152" s="10" t="s">
        <v>47</v>
      </c>
      <c r="D152" s="65"/>
      <c r="E152" s="65"/>
      <c r="F152" s="65"/>
      <c r="G152" s="65"/>
      <c r="H152" s="65"/>
      <c r="I152" s="41"/>
      <c r="J152" s="79">
        <f>((J151)^0.2)-1</f>
        <v>0.18950980017501284</v>
      </c>
      <c r="K152" s="41"/>
      <c r="L152" s="41"/>
      <c r="M152" s="30"/>
      <c r="N152" s="26"/>
    </row>
    <row r="153" spans="1:99" ht="14.4" customHeight="1" x14ac:dyDescent="0.3">
      <c r="A153" s="66"/>
      <c r="B153" s="67"/>
      <c r="M153" s="68"/>
      <c r="N153" s="26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</row>
    <row r="154" spans="1:99" ht="14.4" customHeight="1" x14ac:dyDescent="0.3">
      <c r="A154" s="66"/>
      <c r="B154" s="67"/>
      <c r="M154" s="68"/>
      <c r="N154" s="26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</row>
    <row r="155" spans="1:99" x14ac:dyDescent="0.3">
      <c r="A155" s="66"/>
      <c r="B155" s="66"/>
      <c r="M155" s="68"/>
      <c r="N155" s="26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</row>
    <row r="156" spans="1:99" x14ac:dyDescent="0.3">
      <c r="A156" s="66"/>
      <c r="B156" s="66"/>
      <c r="M156" s="69"/>
      <c r="N156" s="2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</row>
    <row r="157" spans="1:99" ht="6.75" customHeight="1" x14ac:dyDescent="0.3">
      <c r="A157" s="66"/>
      <c r="B157" s="66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30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</row>
    <row r="158" spans="1:99" s="27" customFormat="1" ht="14.4" customHeight="1" x14ac:dyDescent="0.3">
      <c r="A158" s="31"/>
      <c r="B158" s="31"/>
    </row>
    <row r="159" spans="1:99" s="27" customFormat="1" ht="14.4" customHeight="1" x14ac:dyDescent="0.3">
      <c r="A159" s="31"/>
      <c r="B159" s="31"/>
    </row>
    <row r="160" spans="1:99" s="27" customFormat="1" ht="14.4" customHeight="1" x14ac:dyDescent="0.3">
      <c r="A160" s="31"/>
      <c r="B160" s="31"/>
    </row>
    <row r="161" spans="1:2" s="27" customFormat="1" ht="14.4" customHeight="1" x14ac:dyDescent="0.3">
      <c r="A161" s="31"/>
      <c r="B161" s="31"/>
    </row>
    <row r="162" spans="1:2" s="27" customFormat="1" ht="14.4" customHeight="1" x14ac:dyDescent="0.3">
      <c r="A162" s="31"/>
      <c r="B162" s="31"/>
    </row>
    <row r="163" spans="1:2" s="27" customFormat="1" ht="14.4" customHeight="1" x14ac:dyDescent="0.3">
      <c r="A163" s="31"/>
      <c r="B163" s="31"/>
    </row>
    <row r="164" spans="1:2" s="27" customFormat="1" ht="14.4" customHeight="1" x14ac:dyDescent="0.3">
      <c r="A164" s="31"/>
      <c r="B164" s="31"/>
    </row>
    <row r="165" spans="1:2" s="27" customFormat="1" ht="14.4" customHeight="1" x14ac:dyDescent="0.3">
      <c r="A165" s="31"/>
      <c r="B165" s="31"/>
    </row>
    <row r="166" spans="1:2" s="27" customFormat="1" ht="14.4" customHeight="1" x14ac:dyDescent="0.3">
      <c r="A166" s="31"/>
      <c r="B166" s="31"/>
    </row>
    <row r="167" spans="1:2" s="27" customFormat="1" ht="14.4" customHeight="1" x14ac:dyDescent="0.3">
      <c r="A167" s="31"/>
      <c r="B167" s="31"/>
    </row>
    <row r="168" spans="1:2" s="27" customFormat="1" ht="14.4" customHeight="1" x14ac:dyDescent="0.3">
      <c r="A168" s="31"/>
      <c r="B168" s="31"/>
    </row>
    <row r="169" spans="1:2" s="27" customFormat="1" ht="14.4" customHeight="1" x14ac:dyDescent="0.3">
      <c r="A169" s="31"/>
      <c r="B169" s="31"/>
    </row>
    <row r="170" spans="1:2" s="27" customFormat="1" ht="14.4" customHeight="1" x14ac:dyDescent="0.3">
      <c r="A170" s="31"/>
      <c r="B170" s="31"/>
    </row>
    <row r="171" spans="1:2" s="27" customFormat="1" ht="14.4" customHeight="1" x14ac:dyDescent="0.3">
      <c r="A171" s="31"/>
      <c r="B171" s="31"/>
    </row>
    <row r="172" spans="1:2" s="27" customFormat="1" ht="14.4" customHeight="1" x14ac:dyDescent="0.3">
      <c r="A172" s="31"/>
      <c r="B172" s="31"/>
    </row>
    <row r="173" spans="1:2" s="27" customFormat="1" ht="14.4" customHeight="1" x14ac:dyDescent="0.3">
      <c r="A173" s="31"/>
      <c r="B173" s="31"/>
    </row>
    <row r="174" spans="1:2" s="27" customFormat="1" ht="14.4" customHeight="1" x14ac:dyDescent="0.3">
      <c r="A174" s="31"/>
      <c r="B174" s="31"/>
    </row>
    <row r="175" spans="1:2" s="27" customFormat="1" ht="14.4" customHeight="1" x14ac:dyDescent="0.3">
      <c r="A175" s="31"/>
      <c r="B175" s="31"/>
    </row>
    <row r="176" spans="1:2" s="27" customFormat="1" ht="14.4" customHeight="1" x14ac:dyDescent="0.3">
      <c r="A176" s="31"/>
      <c r="B176" s="31"/>
    </row>
    <row r="177" spans="1:2" s="27" customFormat="1" ht="14.4" customHeight="1" x14ac:dyDescent="0.3">
      <c r="A177" s="31"/>
      <c r="B177" s="31"/>
    </row>
    <row r="178" spans="1:2" s="27" customFormat="1" ht="14.4" customHeight="1" x14ac:dyDescent="0.3">
      <c r="A178" s="31"/>
      <c r="B178" s="31"/>
    </row>
    <row r="179" spans="1:2" s="27" customFormat="1" ht="14.4" customHeight="1" x14ac:dyDescent="0.3">
      <c r="A179" s="31"/>
      <c r="B179" s="31"/>
    </row>
    <row r="180" spans="1:2" s="27" customFormat="1" ht="14.4" customHeight="1" x14ac:dyDescent="0.3">
      <c r="A180" s="31"/>
      <c r="B180" s="31"/>
    </row>
    <row r="181" spans="1:2" s="27" customFormat="1" ht="14.4" customHeight="1" x14ac:dyDescent="0.3">
      <c r="A181" s="31"/>
      <c r="B181" s="31"/>
    </row>
    <row r="182" spans="1:2" s="27" customFormat="1" ht="14.4" customHeight="1" x14ac:dyDescent="0.3">
      <c r="A182" s="31"/>
      <c r="B182" s="31"/>
    </row>
    <row r="183" spans="1:2" s="27" customFormat="1" ht="14.4" customHeight="1" x14ac:dyDescent="0.3">
      <c r="A183" s="31"/>
      <c r="B183" s="31"/>
    </row>
    <row r="184" spans="1:2" s="27" customFormat="1" ht="14.4" customHeight="1" x14ac:dyDescent="0.3">
      <c r="A184" s="31"/>
      <c r="B184" s="31"/>
    </row>
    <row r="185" spans="1:2" s="27" customFormat="1" ht="14.4" customHeight="1" x14ac:dyDescent="0.3">
      <c r="A185" s="31"/>
      <c r="B185" s="31"/>
    </row>
    <row r="186" spans="1:2" s="27" customFormat="1" ht="14.4" customHeight="1" x14ac:dyDescent="0.3">
      <c r="A186" s="31"/>
      <c r="B186" s="31"/>
    </row>
    <row r="187" spans="1:2" s="27" customFormat="1" ht="14.4" customHeight="1" x14ac:dyDescent="0.3">
      <c r="A187" s="31"/>
      <c r="B187" s="31"/>
    </row>
    <row r="188" spans="1:2" s="27" customFormat="1" ht="14.4" customHeight="1" x14ac:dyDescent="0.3">
      <c r="A188" s="31"/>
      <c r="B188" s="31"/>
    </row>
    <row r="189" spans="1:2" s="27" customFormat="1" ht="14.4" customHeight="1" x14ac:dyDescent="0.3">
      <c r="A189" s="31"/>
      <c r="B189" s="31"/>
    </row>
    <row r="190" spans="1:2" s="27" customFormat="1" ht="14.4" customHeight="1" x14ac:dyDescent="0.3">
      <c r="A190" s="31"/>
      <c r="B190" s="31"/>
    </row>
    <row r="191" spans="1:2" s="27" customFormat="1" ht="14.4" customHeight="1" x14ac:dyDescent="0.3">
      <c r="A191" s="31"/>
      <c r="B191" s="31"/>
    </row>
    <row r="192" spans="1:2" s="27" customFormat="1" ht="14.4" customHeight="1" x14ac:dyDescent="0.3">
      <c r="A192" s="31"/>
      <c r="B192" s="31"/>
    </row>
    <row r="193" spans="1:2" s="27" customFormat="1" ht="14.4" customHeight="1" x14ac:dyDescent="0.3">
      <c r="A193" s="31"/>
      <c r="B193" s="31"/>
    </row>
    <row r="194" spans="1:2" s="27" customFormat="1" ht="14.4" customHeight="1" x14ac:dyDescent="0.3">
      <c r="A194" s="31"/>
      <c r="B194" s="31"/>
    </row>
    <row r="195" spans="1:2" s="27" customFormat="1" ht="14.4" customHeight="1" x14ac:dyDescent="0.3">
      <c r="A195" s="31"/>
      <c r="B195" s="31"/>
    </row>
    <row r="196" spans="1:2" s="27" customFormat="1" ht="14.4" customHeight="1" x14ac:dyDescent="0.3">
      <c r="A196" s="31"/>
      <c r="B196" s="31"/>
    </row>
    <row r="197" spans="1:2" s="27" customFormat="1" ht="14.4" customHeight="1" x14ac:dyDescent="0.3">
      <c r="A197" s="31"/>
      <c r="B197" s="31"/>
    </row>
    <row r="198" spans="1:2" s="27" customFormat="1" ht="14.4" customHeight="1" x14ac:dyDescent="0.3">
      <c r="A198" s="31"/>
      <c r="B198" s="31"/>
    </row>
    <row r="199" spans="1:2" s="27" customFormat="1" ht="14.4" customHeight="1" x14ac:dyDescent="0.3">
      <c r="A199" s="31"/>
      <c r="B199" s="31"/>
    </row>
    <row r="200" spans="1:2" s="27" customFormat="1" ht="14.4" customHeight="1" x14ac:dyDescent="0.3">
      <c r="A200" s="31"/>
      <c r="B200" s="31"/>
    </row>
    <row r="201" spans="1:2" s="27" customFormat="1" ht="14.4" customHeight="1" x14ac:dyDescent="0.3">
      <c r="A201" s="31"/>
      <c r="B201" s="31"/>
    </row>
    <row r="202" spans="1:2" s="27" customFormat="1" ht="14.4" customHeight="1" x14ac:dyDescent="0.3">
      <c r="A202" s="31"/>
      <c r="B202" s="31"/>
    </row>
    <row r="203" spans="1:2" s="27" customFormat="1" ht="14.4" customHeight="1" x14ac:dyDescent="0.3">
      <c r="A203" s="31"/>
      <c r="B203" s="31"/>
    </row>
    <row r="204" spans="1:2" s="27" customFormat="1" ht="14.4" customHeight="1" x14ac:dyDescent="0.3">
      <c r="A204" s="31"/>
      <c r="B204" s="31"/>
    </row>
    <row r="205" spans="1:2" s="27" customFormat="1" ht="14.4" customHeight="1" x14ac:dyDescent="0.3">
      <c r="A205" s="31"/>
      <c r="B205" s="31"/>
    </row>
    <row r="206" spans="1:2" s="27" customFormat="1" ht="14.4" customHeight="1" x14ac:dyDescent="0.3">
      <c r="A206" s="31"/>
      <c r="B206" s="31"/>
    </row>
    <row r="207" spans="1:2" s="27" customFormat="1" x14ac:dyDescent="0.3">
      <c r="A207" s="31"/>
      <c r="B207" s="31"/>
    </row>
    <row r="208" spans="1:2" s="27" customFormat="1" x14ac:dyDescent="0.3">
      <c r="A208" s="31"/>
      <c r="B208" s="31"/>
    </row>
    <row r="209" spans="1:2" s="27" customFormat="1" x14ac:dyDescent="0.3">
      <c r="A209" s="31"/>
      <c r="B209" s="31"/>
    </row>
    <row r="210" spans="1:2" s="27" customFormat="1" x14ac:dyDescent="0.3">
      <c r="A210" s="31"/>
      <c r="B210" s="31"/>
    </row>
    <row r="211" spans="1:2" s="27" customFormat="1" x14ac:dyDescent="0.3">
      <c r="A211" s="31"/>
      <c r="B211" s="31"/>
    </row>
    <row r="212" spans="1:2" s="27" customFormat="1" x14ac:dyDescent="0.3">
      <c r="A212" s="31"/>
      <c r="B212" s="31"/>
    </row>
    <row r="213" spans="1:2" s="27" customFormat="1" x14ac:dyDescent="0.3">
      <c r="A213" s="31"/>
      <c r="B213" s="31"/>
    </row>
    <row r="214" spans="1:2" s="27" customFormat="1" x14ac:dyDescent="0.3">
      <c r="A214" s="31"/>
      <c r="B214" s="31"/>
    </row>
    <row r="215" spans="1:2" s="27" customFormat="1" x14ac:dyDescent="0.3">
      <c r="A215" s="31"/>
      <c r="B215" s="31"/>
    </row>
    <row r="216" spans="1:2" s="27" customFormat="1" x14ac:dyDescent="0.3">
      <c r="A216" s="31"/>
      <c r="B216" s="31"/>
    </row>
    <row r="217" spans="1:2" s="27" customFormat="1" x14ac:dyDescent="0.3">
      <c r="A217" s="31"/>
      <c r="B217" s="31"/>
    </row>
    <row r="218" spans="1:2" s="27" customFormat="1" x14ac:dyDescent="0.3">
      <c r="A218" s="31"/>
      <c r="B218" s="31"/>
    </row>
    <row r="219" spans="1:2" s="27" customFormat="1" x14ac:dyDescent="0.3">
      <c r="A219" s="31"/>
      <c r="B219" s="31"/>
    </row>
    <row r="220" spans="1:2" s="27" customFormat="1" x14ac:dyDescent="0.3">
      <c r="A220" s="31"/>
      <c r="B220" s="31"/>
    </row>
    <row r="221" spans="1:2" s="27" customFormat="1" x14ac:dyDescent="0.3">
      <c r="A221" s="31"/>
      <c r="B221" s="31"/>
    </row>
    <row r="222" spans="1:2" s="27" customFormat="1" x14ac:dyDescent="0.3">
      <c r="A222" s="31"/>
      <c r="B222" s="31"/>
    </row>
    <row r="223" spans="1:2" s="27" customFormat="1" x14ac:dyDescent="0.3">
      <c r="A223" s="31"/>
      <c r="B223" s="31"/>
    </row>
    <row r="224" spans="1:2" s="27" customFormat="1" x14ac:dyDescent="0.3">
      <c r="A224" s="31"/>
      <c r="B224" s="31"/>
    </row>
    <row r="225" spans="1:2" s="27" customFormat="1" x14ac:dyDescent="0.3">
      <c r="A225" s="31"/>
      <c r="B225" s="31"/>
    </row>
    <row r="226" spans="1:2" s="27" customFormat="1" x14ac:dyDescent="0.3">
      <c r="A226" s="31"/>
      <c r="B226" s="31"/>
    </row>
    <row r="227" spans="1:2" s="27" customFormat="1" x14ac:dyDescent="0.3">
      <c r="A227" s="31"/>
      <c r="B227" s="31"/>
    </row>
    <row r="228" spans="1:2" s="27" customFormat="1" x14ac:dyDescent="0.3">
      <c r="A228" s="31"/>
      <c r="B228" s="31"/>
    </row>
    <row r="229" spans="1:2" s="27" customFormat="1" x14ac:dyDescent="0.3">
      <c r="A229" s="31"/>
      <c r="B229" s="31"/>
    </row>
    <row r="230" spans="1:2" s="27" customFormat="1" x14ac:dyDescent="0.3">
      <c r="A230" s="31"/>
      <c r="B230" s="31"/>
    </row>
    <row r="231" spans="1:2" s="27" customFormat="1" x14ac:dyDescent="0.3">
      <c r="A231" s="31"/>
      <c r="B231" s="31"/>
    </row>
    <row r="232" spans="1:2" s="27" customFormat="1" x14ac:dyDescent="0.3">
      <c r="A232" s="31"/>
      <c r="B232" s="31"/>
    </row>
    <row r="233" spans="1:2" s="27" customFormat="1" x14ac:dyDescent="0.3">
      <c r="A233" s="31"/>
      <c r="B233" s="31"/>
    </row>
    <row r="234" spans="1:2" s="27" customFormat="1" x14ac:dyDescent="0.3">
      <c r="A234" s="31"/>
      <c r="B234" s="31"/>
    </row>
    <row r="235" spans="1:2" s="27" customFormat="1" x14ac:dyDescent="0.3">
      <c r="A235" s="31"/>
      <c r="B235" s="31"/>
    </row>
    <row r="236" spans="1:2" s="27" customFormat="1" x14ac:dyDescent="0.3">
      <c r="A236" s="31"/>
      <c r="B236" s="31"/>
    </row>
    <row r="237" spans="1:2" s="27" customFormat="1" x14ac:dyDescent="0.3">
      <c r="A237" s="31"/>
      <c r="B237" s="31"/>
    </row>
    <row r="238" spans="1:2" s="27" customFormat="1" x14ac:dyDescent="0.3">
      <c r="A238" s="31"/>
      <c r="B238" s="31"/>
    </row>
    <row r="239" spans="1:2" s="27" customFormat="1" x14ac:dyDescent="0.3">
      <c r="A239" s="31"/>
      <c r="B239" s="31"/>
    </row>
    <row r="240" spans="1:2" s="27" customFormat="1" x14ac:dyDescent="0.3">
      <c r="A240" s="31"/>
      <c r="B240" s="31"/>
    </row>
    <row r="241" spans="1:2" s="27" customFormat="1" x14ac:dyDescent="0.3">
      <c r="A241" s="31"/>
      <c r="B241" s="31"/>
    </row>
    <row r="242" spans="1:2" s="27" customFormat="1" x14ac:dyDescent="0.3">
      <c r="A242" s="31"/>
      <c r="B242" s="31"/>
    </row>
    <row r="243" spans="1:2" s="27" customFormat="1" x14ac:dyDescent="0.3">
      <c r="A243" s="31"/>
      <c r="B243" s="31"/>
    </row>
    <row r="244" spans="1:2" s="27" customFormat="1" x14ac:dyDescent="0.3">
      <c r="A244" s="31"/>
      <c r="B244" s="31"/>
    </row>
    <row r="245" spans="1:2" s="27" customFormat="1" x14ac:dyDescent="0.3">
      <c r="A245" s="31"/>
      <c r="B245" s="31"/>
    </row>
    <row r="246" spans="1:2" s="27" customFormat="1" x14ac:dyDescent="0.3">
      <c r="A246" s="31"/>
      <c r="B246" s="31"/>
    </row>
    <row r="247" spans="1:2" s="27" customFormat="1" x14ac:dyDescent="0.3">
      <c r="A247" s="31"/>
      <c r="B247" s="31"/>
    </row>
    <row r="248" spans="1:2" s="27" customFormat="1" x14ac:dyDescent="0.3">
      <c r="A248" s="31"/>
      <c r="B248" s="31"/>
    </row>
    <row r="249" spans="1:2" s="27" customFormat="1" x14ac:dyDescent="0.3">
      <c r="A249" s="31"/>
      <c r="B249" s="31"/>
    </row>
    <row r="250" spans="1:2" s="27" customFormat="1" x14ac:dyDescent="0.3">
      <c r="A250" s="31"/>
      <c r="B250" s="31"/>
    </row>
    <row r="251" spans="1:2" s="27" customFormat="1" x14ac:dyDescent="0.3">
      <c r="A251" s="31"/>
      <c r="B251" s="31"/>
    </row>
    <row r="252" spans="1:2" s="27" customFormat="1" x14ac:dyDescent="0.3">
      <c r="A252" s="31"/>
      <c r="B252" s="31"/>
    </row>
    <row r="253" spans="1:2" s="27" customFormat="1" x14ac:dyDescent="0.3">
      <c r="A253" s="31"/>
      <c r="B253" s="31"/>
    </row>
    <row r="254" spans="1:2" s="27" customFormat="1" x14ac:dyDescent="0.3">
      <c r="A254" s="31"/>
      <c r="B254" s="31"/>
    </row>
    <row r="255" spans="1:2" s="27" customFormat="1" x14ac:dyDescent="0.3">
      <c r="A255" s="31"/>
      <c r="B255" s="31"/>
    </row>
    <row r="256" spans="1:2" s="27" customFormat="1" x14ac:dyDescent="0.3">
      <c r="A256" s="31"/>
      <c r="B256" s="31"/>
    </row>
    <row r="257" spans="1:2" s="27" customFormat="1" x14ac:dyDescent="0.3">
      <c r="A257" s="31"/>
      <c r="B257" s="31"/>
    </row>
    <row r="258" spans="1:2" s="27" customFormat="1" x14ac:dyDescent="0.3">
      <c r="A258" s="31"/>
      <c r="B258" s="31"/>
    </row>
    <row r="259" spans="1:2" s="27" customFormat="1" x14ac:dyDescent="0.3">
      <c r="A259" s="31"/>
      <c r="B259" s="31"/>
    </row>
    <row r="260" spans="1:2" s="27" customFormat="1" x14ac:dyDescent="0.3">
      <c r="A260" s="31"/>
      <c r="B260" s="31"/>
    </row>
    <row r="261" spans="1:2" s="27" customFormat="1" x14ac:dyDescent="0.3">
      <c r="A261" s="31"/>
      <c r="B261" s="31"/>
    </row>
    <row r="262" spans="1:2" s="27" customFormat="1" x14ac:dyDescent="0.3">
      <c r="A262" s="31"/>
      <c r="B262" s="31"/>
    </row>
    <row r="263" spans="1:2" s="27" customFormat="1" x14ac:dyDescent="0.3">
      <c r="A263" s="31"/>
      <c r="B263" s="31"/>
    </row>
    <row r="264" spans="1:2" s="27" customFormat="1" x14ac:dyDescent="0.3">
      <c r="A264" s="31"/>
      <c r="B264" s="31"/>
    </row>
    <row r="265" spans="1:2" s="27" customFormat="1" x14ac:dyDescent="0.3">
      <c r="A265" s="31"/>
      <c r="B265" s="31"/>
    </row>
    <row r="266" spans="1:2" s="27" customFormat="1" x14ac:dyDescent="0.3">
      <c r="A266" s="31"/>
      <c r="B266" s="31"/>
    </row>
    <row r="267" spans="1:2" s="27" customFormat="1" x14ac:dyDescent="0.3">
      <c r="A267" s="31"/>
      <c r="B267" s="31"/>
    </row>
    <row r="268" spans="1:2" s="27" customFormat="1" x14ac:dyDescent="0.3">
      <c r="A268" s="31"/>
      <c r="B268" s="31"/>
    </row>
    <row r="269" spans="1:2" s="27" customFormat="1" x14ac:dyDescent="0.3">
      <c r="A269" s="31"/>
      <c r="B269" s="31"/>
    </row>
    <row r="270" spans="1:2" s="27" customFormat="1" x14ac:dyDescent="0.3">
      <c r="A270" s="31"/>
      <c r="B270" s="31"/>
    </row>
    <row r="271" spans="1:2" s="27" customFormat="1" x14ac:dyDescent="0.3">
      <c r="A271" s="31"/>
      <c r="B271" s="31"/>
    </row>
    <row r="272" spans="1:2" s="27" customFormat="1" x14ac:dyDescent="0.3">
      <c r="A272" s="31"/>
      <c r="B272" s="31"/>
    </row>
    <row r="273" spans="1:2" s="27" customFormat="1" x14ac:dyDescent="0.3">
      <c r="A273" s="31"/>
      <c r="B273" s="31"/>
    </row>
    <row r="274" spans="1:2" s="27" customFormat="1" x14ac:dyDescent="0.3">
      <c r="A274" s="31"/>
      <c r="B274" s="31"/>
    </row>
    <row r="275" spans="1:2" s="27" customFormat="1" x14ac:dyDescent="0.3">
      <c r="A275" s="31"/>
      <c r="B275" s="31"/>
    </row>
    <row r="276" spans="1:2" s="27" customFormat="1" x14ac:dyDescent="0.3">
      <c r="A276" s="31"/>
      <c r="B276" s="31"/>
    </row>
    <row r="277" spans="1:2" s="27" customFormat="1" x14ac:dyDescent="0.3">
      <c r="A277" s="31"/>
      <c r="B277" s="31"/>
    </row>
    <row r="278" spans="1:2" s="27" customFormat="1" x14ac:dyDescent="0.3">
      <c r="A278" s="31"/>
      <c r="B278" s="31"/>
    </row>
    <row r="279" spans="1:2" s="27" customFormat="1" x14ac:dyDescent="0.3">
      <c r="A279" s="31"/>
      <c r="B279" s="31"/>
    </row>
    <row r="280" spans="1:2" s="27" customFormat="1" x14ac:dyDescent="0.3">
      <c r="A280" s="31"/>
      <c r="B280" s="31"/>
    </row>
    <row r="281" spans="1:2" s="27" customFormat="1" x14ac:dyDescent="0.3">
      <c r="A281" s="31"/>
      <c r="B281" s="31"/>
    </row>
    <row r="282" spans="1:2" s="27" customFormat="1" x14ac:dyDescent="0.3">
      <c r="A282" s="31"/>
      <c r="B282" s="31"/>
    </row>
    <row r="283" spans="1:2" s="27" customFormat="1" x14ac:dyDescent="0.3">
      <c r="A283" s="31"/>
      <c r="B283" s="31"/>
    </row>
    <row r="284" spans="1:2" s="27" customFormat="1" x14ac:dyDescent="0.3">
      <c r="A284" s="31"/>
      <c r="B284" s="31"/>
    </row>
    <row r="285" spans="1:2" s="27" customFormat="1" x14ac:dyDescent="0.3">
      <c r="A285" s="31"/>
      <c r="B285" s="31"/>
    </row>
    <row r="286" spans="1:2" s="27" customFormat="1" x14ac:dyDescent="0.3">
      <c r="A286" s="31"/>
      <c r="B286" s="31"/>
    </row>
    <row r="287" spans="1:2" s="27" customFormat="1" x14ac:dyDescent="0.3">
      <c r="A287" s="31"/>
      <c r="B287" s="31"/>
    </row>
    <row r="288" spans="1:2" s="27" customFormat="1" x14ac:dyDescent="0.3">
      <c r="A288" s="31"/>
      <c r="B288" s="31"/>
    </row>
    <row r="289" spans="1:2" s="27" customFormat="1" x14ac:dyDescent="0.3">
      <c r="A289" s="31"/>
      <c r="B289" s="31"/>
    </row>
    <row r="290" spans="1:2" s="27" customFormat="1" x14ac:dyDescent="0.3">
      <c r="A290" s="31"/>
      <c r="B290" s="31"/>
    </row>
    <row r="291" spans="1:2" s="27" customFormat="1" x14ac:dyDescent="0.3">
      <c r="A291" s="31"/>
      <c r="B291" s="31"/>
    </row>
    <row r="292" spans="1:2" s="27" customFormat="1" x14ac:dyDescent="0.3">
      <c r="A292" s="31"/>
      <c r="B292" s="31"/>
    </row>
    <row r="293" spans="1:2" s="27" customFormat="1" x14ac:dyDescent="0.3">
      <c r="A293" s="31"/>
      <c r="B293" s="31"/>
    </row>
    <row r="294" spans="1:2" s="27" customFormat="1" x14ac:dyDescent="0.3">
      <c r="A294" s="31"/>
      <c r="B294" s="31"/>
    </row>
    <row r="295" spans="1:2" s="27" customFormat="1" x14ac:dyDescent="0.3">
      <c r="A295" s="31"/>
      <c r="B295" s="31"/>
    </row>
    <row r="296" spans="1:2" s="27" customFormat="1" x14ac:dyDescent="0.3">
      <c r="A296" s="31"/>
      <c r="B296" s="31"/>
    </row>
    <row r="297" spans="1:2" s="27" customFormat="1" x14ac:dyDescent="0.3">
      <c r="A297" s="31"/>
      <c r="B297" s="31"/>
    </row>
    <row r="298" spans="1:2" s="27" customFormat="1" x14ac:dyDescent="0.3">
      <c r="A298" s="31"/>
      <c r="B298" s="31"/>
    </row>
    <row r="299" spans="1:2" s="27" customFormat="1" x14ac:dyDescent="0.3">
      <c r="A299" s="31"/>
      <c r="B299" s="31"/>
    </row>
    <row r="300" spans="1:2" s="27" customFormat="1" x14ac:dyDescent="0.3">
      <c r="A300" s="31"/>
      <c r="B300" s="31"/>
    </row>
    <row r="301" spans="1:2" s="27" customFormat="1" x14ac:dyDescent="0.3">
      <c r="A301" s="31"/>
      <c r="B301" s="31"/>
    </row>
    <row r="302" spans="1:2" s="27" customFormat="1" x14ac:dyDescent="0.3">
      <c r="A302" s="31"/>
      <c r="B302" s="31"/>
    </row>
    <row r="303" spans="1:2" s="27" customFormat="1" x14ac:dyDescent="0.3">
      <c r="A303" s="31"/>
      <c r="B303" s="31"/>
    </row>
    <row r="304" spans="1:2" s="27" customFormat="1" x14ac:dyDescent="0.3">
      <c r="A304" s="31"/>
      <c r="B304" s="31"/>
    </row>
    <row r="305" spans="1:2" s="27" customFormat="1" x14ac:dyDescent="0.3">
      <c r="A305" s="31"/>
      <c r="B305" s="31"/>
    </row>
    <row r="306" spans="1:2" s="27" customFormat="1" x14ac:dyDescent="0.3">
      <c r="A306" s="31"/>
      <c r="B306" s="31"/>
    </row>
    <row r="307" spans="1:2" s="27" customFormat="1" x14ac:dyDescent="0.3">
      <c r="A307" s="31"/>
      <c r="B307" s="31"/>
    </row>
    <row r="308" spans="1:2" s="27" customFormat="1" x14ac:dyDescent="0.3">
      <c r="A308" s="31"/>
      <c r="B308" s="31"/>
    </row>
    <row r="309" spans="1:2" s="27" customFormat="1" x14ac:dyDescent="0.3">
      <c r="A309" s="31"/>
      <c r="B309" s="31"/>
    </row>
    <row r="310" spans="1:2" s="27" customFormat="1" x14ac:dyDescent="0.3">
      <c r="A310" s="31"/>
      <c r="B310" s="31"/>
    </row>
    <row r="311" spans="1:2" s="27" customFormat="1" x14ac:dyDescent="0.3">
      <c r="A311" s="31"/>
      <c r="B311" s="31"/>
    </row>
    <row r="312" spans="1:2" s="27" customFormat="1" x14ac:dyDescent="0.3">
      <c r="A312" s="31"/>
      <c r="B312" s="31"/>
    </row>
    <row r="313" spans="1:2" s="27" customFormat="1" x14ac:dyDescent="0.3">
      <c r="A313" s="31"/>
      <c r="B313" s="31"/>
    </row>
    <row r="314" spans="1:2" s="27" customFormat="1" x14ac:dyDescent="0.3">
      <c r="A314" s="31"/>
      <c r="B314" s="31"/>
    </row>
    <row r="315" spans="1:2" s="27" customFormat="1" x14ac:dyDescent="0.3">
      <c r="A315" s="31"/>
      <c r="B315" s="31"/>
    </row>
    <row r="316" spans="1:2" s="27" customFormat="1" x14ac:dyDescent="0.3">
      <c r="A316" s="31"/>
      <c r="B316" s="31"/>
    </row>
    <row r="317" spans="1:2" s="27" customFormat="1" x14ac:dyDescent="0.3">
      <c r="A317" s="31"/>
      <c r="B317" s="31"/>
    </row>
    <row r="318" spans="1:2" s="27" customFormat="1" x14ac:dyDescent="0.3">
      <c r="A318" s="31"/>
      <c r="B318" s="31"/>
    </row>
    <row r="319" spans="1:2" s="27" customFormat="1" x14ac:dyDescent="0.3">
      <c r="A319" s="31"/>
      <c r="B319" s="31"/>
    </row>
    <row r="320" spans="1:2" s="27" customFormat="1" x14ac:dyDescent="0.3">
      <c r="A320" s="31"/>
      <c r="B320" s="31"/>
    </row>
    <row r="321" spans="1:2" s="27" customFormat="1" x14ac:dyDescent="0.3">
      <c r="A321" s="31"/>
      <c r="B321" s="31"/>
    </row>
    <row r="322" spans="1:2" s="27" customFormat="1" x14ac:dyDescent="0.3">
      <c r="A322" s="31"/>
      <c r="B322" s="31"/>
    </row>
    <row r="323" spans="1:2" s="27" customFormat="1" x14ac:dyDescent="0.3">
      <c r="A323" s="31"/>
      <c r="B323" s="31"/>
    </row>
    <row r="324" spans="1:2" s="27" customFormat="1" x14ac:dyDescent="0.3">
      <c r="A324" s="31"/>
      <c r="B324" s="31"/>
    </row>
    <row r="325" spans="1:2" s="27" customFormat="1" x14ac:dyDescent="0.3">
      <c r="A325" s="31"/>
      <c r="B325" s="31"/>
    </row>
    <row r="326" spans="1:2" s="27" customFormat="1" x14ac:dyDescent="0.3">
      <c r="A326" s="31"/>
      <c r="B326" s="31"/>
    </row>
    <row r="327" spans="1:2" s="27" customFormat="1" x14ac:dyDescent="0.3">
      <c r="A327" s="31"/>
      <c r="B327" s="31"/>
    </row>
    <row r="328" spans="1:2" s="27" customFormat="1" x14ac:dyDescent="0.3">
      <c r="A328" s="31"/>
      <c r="B328" s="31"/>
    </row>
    <row r="329" spans="1:2" s="27" customFormat="1" x14ac:dyDescent="0.3">
      <c r="A329" s="31"/>
      <c r="B329" s="31"/>
    </row>
    <row r="330" spans="1:2" s="27" customFormat="1" x14ac:dyDescent="0.3">
      <c r="A330" s="31"/>
      <c r="B330" s="31"/>
    </row>
    <row r="331" spans="1:2" s="27" customFormat="1" x14ac:dyDescent="0.3">
      <c r="A331" s="31"/>
      <c r="B331" s="31"/>
    </row>
    <row r="332" spans="1:2" s="27" customFormat="1" x14ac:dyDescent="0.3">
      <c r="A332" s="31"/>
      <c r="B332" s="31"/>
    </row>
    <row r="333" spans="1:2" s="27" customFormat="1" x14ac:dyDescent="0.3">
      <c r="A333" s="31"/>
      <c r="B333" s="31"/>
    </row>
    <row r="334" spans="1:2" s="27" customFormat="1" x14ac:dyDescent="0.3">
      <c r="A334" s="31"/>
      <c r="B334" s="31"/>
    </row>
    <row r="335" spans="1:2" s="27" customFormat="1" x14ac:dyDescent="0.3">
      <c r="A335" s="31"/>
      <c r="B335" s="31"/>
    </row>
    <row r="336" spans="1:2" s="27" customFormat="1" x14ac:dyDescent="0.3">
      <c r="A336" s="31"/>
      <c r="B336" s="31"/>
    </row>
    <row r="337" spans="1:14" s="27" customFormat="1" x14ac:dyDescent="0.3">
      <c r="A337" s="31"/>
      <c r="B337" s="31"/>
    </row>
    <row r="338" spans="1:14" s="27" customFormat="1" x14ac:dyDescent="0.3">
      <c r="A338" s="31"/>
      <c r="B338" s="31"/>
    </row>
    <row r="339" spans="1:14" s="27" customFormat="1" x14ac:dyDescent="0.3">
      <c r="A339" s="31"/>
      <c r="B339" s="31"/>
    </row>
    <row r="340" spans="1:14" s="27" customFormat="1" x14ac:dyDescent="0.3">
      <c r="A340" s="31"/>
      <c r="B340" s="31"/>
    </row>
    <row r="341" spans="1:14" s="27" customFormat="1" x14ac:dyDescent="0.3">
      <c r="A341" s="31"/>
      <c r="B341" s="31"/>
    </row>
    <row r="342" spans="1:14" s="27" customFormat="1" x14ac:dyDescent="0.3">
      <c r="A342" s="31"/>
      <c r="B342" s="31"/>
    </row>
    <row r="343" spans="1:14" s="27" customFormat="1" x14ac:dyDescent="0.3">
      <c r="A343" s="31"/>
      <c r="B343" s="31"/>
    </row>
    <row r="344" spans="1:14" s="27" customFormat="1" x14ac:dyDescent="0.3">
      <c r="A344" s="31"/>
      <c r="B344" s="31"/>
    </row>
    <row r="345" spans="1:14" s="27" customFormat="1" x14ac:dyDescent="0.3">
      <c r="A345" s="31"/>
      <c r="B345" s="31"/>
    </row>
    <row r="346" spans="1:14" s="27" customFormat="1" x14ac:dyDescent="0.3">
      <c r="A346" s="31"/>
      <c r="B346" s="31"/>
      <c r="M346"/>
      <c r="N346"/>
    </row>
    <row r="347" spans="1:14" s="27" customFormat="1" x14ac:dyDescent="0.3">
      <c r="A347" s="31"/>
      <c r="B347" s="31"/>
      <c r="M347"/>
      <c r="N347"/>
    </row>
    <row r="348" spans="1:14" s="27" customFormat="1" x14ac:dyDescent="0.3">
      <c r="A348" s="31"/>
      <c r="B348" s="31"/>
      <c r="M348"/>
      <c r="N348"/>
    </row>
    <row r="349" spans="1:14" s="27" customFormat="1" x14ac:dyDescent="0.3">
      <c r="A349" s="31"/>
      <c r="B349" s="31"/>
      <c r="M349"/>
      <c r="N349"/>
    </row>
    <row r="350" spans="1:14" s="27" customFormat="1" x14ac:dyDescent="0.3">
      <c r="A350" s="31"/>
      <c r="B350" s="31"/>
      <c r="M350"/>
      <c r="N350"/>
    </row>
    <row r="351" spans="1:14" s="27" customFormat="1" x14ac:dyDescent="0.3">
      <c r="A351" s="31"/>
      <c r="B351" s="31"/>
      <c r="M351"/>
      <c r="N351"/>
    </row>
    <row r="352" spans="1:14" s="27" customFormat="1" x14ac:dyDescent="0.3">
      <c r="A352" s="31"/>
      <c r="B352" s="31"/>
      <c r="M352"/>
      <c r="N352"/>
    </row>
    <row r="353" spans="1:14" s="27" customFormat="1" x14ac:dyDescent="0.3">
      <c r="A353" s="31"/>
      <c r="B353" s="31"/>
      <c r="M353"/>
      <c r="N353"/>
    </row>
    <row r="354" spans="1:14" s="27" customFormat="1" x14ac:dyDescent="0.3">
      <c r="A354" s="31"/>
      <c r="B354" s="31"/>
      <c r="M354"/>
      <c r="N354"/>
    </row>
    <row r="355" spans="1:14" s="27" customFormat="1" x14ac:dyDescent="0.3">
      <c r="A355" s="31"/>
      <c r="B355" s="31"/>
      <c r="M355"/>
      <c r="N355"/>
    </row>
    <row r="356" spans="1:14" s="27" customFormat="1" x14ac:dyDescent="0.3">
      <c r="A356" s="31"/>
      <c r="B356" s="31"/>
      <c r="M356"/>
      <c r="N356"/>
    </row>
    <row r="357" spans="1:14" s="27" customFormat="1" x14ac:dyDescent="0.3">
      <c r="A357" s="31"/>
      <c r="B357" s="31"/>
      <c r="M357"/>
      <c r="N357"/>
    </row>
    <row r="358" spans="1:14" s="27" customFormat="1" x14ac:dyDescent="0.3">
      <c r="A358" s="31"/>
      <c r="B358" s="31"/>
      <c r="M358"/>
      <c r="N358"/>
    </row>
    <row r="359" spans="1:14" s="27" customFormat="1" x14ac:dyDescent="0.3">
      <c r="A359" s="31"/>
      <c r="B359" s="31"/>
      <c r="M359"/>
      <c r="N359"/>
    </row>
    <row r="360" spans="1:14" s="27" customFormat="1" x14ac:dyDescent="0.3">
      <c r="A360" s="31"/>
      <c r="B360" s="31"/>
      <c r="M360"/>
      <c r="N360"/>
    </row>
    <row r="361" spans="1:14" s="27" customFormat="1" x14ac:dyDescent="0.3">
      <c r="A361" s="31"/>
      <c r="B361" s="31"/>
      <c r="M361"/>
      <c r="N361"/>
    </row>
    <row r="362" spans="1:14" s="27" customFormat="1" x14ac:dyDescent="0.3">
      <c r="A362" s="31"/>
      <c r="B362" s="31"/>
      <c r="M362"/>
      <c r="N362"/>
    </row>
    <row r="363" spans="1:14" s="27" customFormat="1" x14ac:dyDescent="0.3">
      <c r="A363" s="31"/>
      <c r="B363" s="31"/>
      <c r="M363"/>
      <c r="N363"/>
    </row>
    <row r="364" spans="1:14" s="27" customFormat="1" x14ac:dyDescent="0.3">
      <c r="A364" s="31"/>
      <c r="B364" s="31"/>
      <c r="M364"/>
      <c r="N364"/>
    </row>
    <row r="365" spans="1:14" s="27" customFormat="1" x14ac:dyDescent="0.3">
      <c r="A365" s="31"/>
      <c r="B365" s="31"/>
      <c r="M365"/>
      <c r="N365"/>
    </row>
    <row r="366" spans="1:14" s="27" customFormat="1" x14ac:dyDescent="0.3">
      <c r="A366" s="31"/>
      <c r="B366" s="31"/>
      <c r="M366"/>
      <c r="N366"/>
    </row>
    <row r="367" spans="1:14" s="27" customFormat="1" x14ac:dyDescent="0.3">
      <c r="A367" s="31"/>
      <c r="B367" s="31"/>
      <c r="M367"/>
      <c r="N367"/>
    </row>
    <row r="368" spans="1:14" s="27" customFormat="1" x14ac:dyDescent="0.3">
      <c r="A368" s="31"/>
      <c r="B368" s="31"/>
      <c r="M368"/>
      <c r="N368"/>
    </row>
    <row r="369" spans="1:14" s="27" customFormat="1" x14ac:dyDescent="0.3">
      <c r="A369" s="31"/>
      <c r="B369" s="31"/>
      <c r="M369"/>
      <c r="N369"/>
    </row>
    <row r="370" spans="1:14" s="27" customFormat="1" x14ac:dyDescent="0.3">
      <c r="A370" s="31"/>
      <c r="B370" s="31"/>
      <c r="M370"/>
      <c r="N370"/>
    </row>
    <row r="371" spans="1:14" s="27" customFormat="1" x14ac:dyDescent="0.3">
      <c r="A371" s="31"/>
      <c r="B371" s="31"/>
      <c r="M371"/>
      <c r="N371"/>
    </row>
    <row r="372" spans="1:14" s="27" customFormat="1" x14ac:dyDescent="0.3">
      <c r="A372" s="31"/>
      <c r="B372" s="31"/>
      <c r="M372"/>
      <c r="N372"/>
    </row>
    <row r="373" spans="1:14" s="27" customFormat="1" x14ac:dyDescent="0.3">
      <c r="A373" s="31"/>
      <c r="B373" s="31"/>
      <c r="M373"/>
      <c r="N373"/>
    </row>
    <row r="374" spans="1:14" s="27" customFormat="1" x14ac:dyDescent="0.3">
      <c r="A374" s="31"/>
      <c r="B374" s="31"/>
      <c r="M374"/>
      <c r="N374"/>
    </row>
    <row r="375" spans="1:14" s="27" customFormat="1" x14ac:dyDescent="0.3">
      <c r="A375" s="31"/>
      <c r="B375" s="31"/>
      <c r="M375"/>
      <c r="N375"/>
    </row>
    <row r="376" spans="1:14" s="27" customFormat="1" x14ac:dyDescent="0.3">
      <c r="A376" s="31"/>
      <c r="B376" s="31"/>
      <c r="M376"/>
      <c r="N376"/>
    </row>
    <row r="377" spans="1:14" s="27" customFormat="1" x14ac:dyDescent="0.3">
      <c r="A377" s="31"/>
      <c r="B377" s="31"/>
      <c r="M377"/>
      <c r="N377"/>
    </row>
    <row r="378" spans="1:14" s="27" customFormat="1" x14ac:dyDescent="0.3">
      <c r="A378" s="31"/>
      <c r="B378" s="31"/>
      <c r="M378"/>
      <c r="N378"/>
    </row>
    <row r="379" spans="1:14" s="27" customFormat="1" x14ac:dyDescent="0.3">
      <c r="A379" s="31"/>
      <c r="B379" s="31"/>
      <c r="M379"/>
      <c r="N379"/>
    </row>
    <row r="380" spans="1:14" s="27" customFormat="1" x14ac:dyDescent="0.3">
      <c r="A380" s="31"/>
      <c r="B380" s="31"/>
      <c r="M380"/>
      <c r="N380"/>
    </row>
    <row r="381" spans="1:14" s="27" customFormat="1" x14ac:dyDescent="0.3">
      <c r="A381" s="31"/>
      <c r="B381" s="31"/>
      <c r="M381"/>
      <c r="N381"/>
    </row>
    <row r="382" spans="1:14" s="27" customFormat="1" x14ac:dyDescent="0.3">
      <c r="A382" s="31"/>
      <c r="B382" s="31"/>
      <c r="M382"/>
      <c r="N382"/>
    </row>
    <row r="383" spans="1:14" s="27" customFormat="1" x14ac:dyDescent="0.3">
      <c r="A383" s="31"/>
      <c r="B383" s="31"/>
      <c r="M383"/>
      <c r="N383"/>
    </row>
    <row r="384" spans="1:14" s="27" customFormat="1" x14ac:dyDescent="0.3">
      <c r="A384" s="31"/>
      <c r="B384" s="31"/>
      <c r="M384"/>
      <c r="N384"/>
    </row>
    <row r="385" spans="1:14" s="27" customFormat="1" x14ac:dyDescent="0.3">
      <c r="A385" s="31"/>
      <c r="B385" s="31"/>
      <c r="M385"/>
      <c r="N385"/>
    </row>
    <row r="386" spans="1:14" s="27" customFormat="1" x14ac:dyDescent="0.3">
      <c r="A386" s="31"/>
      <c r="B386" s="31"/>
      <c r="M386"/>
      <c r="N386"/>
    </row>
    <row r="387" spans="1:14" s="27" customFormat="1" x14ac:dyDescent="0.3">
      <c r="A387" s="31"/>
      <c r="B387" s="31"/>
      <c r="M387"/>
      <c r="N387"/>
    </row>
    <row r="388" spans="1:14" s="27" customFormat="1" x14ac:dyDescent="0.3">
      <c r="A388" s="31"/>
      <c r="B388" s="31"/>
      <c r="M388"/>
      <c r="N388"/>
    </row>
    <row r="389" spans="1:14" s="27" customFormat="1" x14ac:dyDescent="0.3">
      <c r="A389" s="31"/>
      <c r="B389" s="31"/>
      <c r="M389"/>
      <c r="N389"/>
    </row>
    <row r="390" spans="1:14" s="27" customFormat="1" x14ac:dyDescent="0.3">
      <c r="A390" s="31"/>
      <c r="B390" s="31"/>
      <c r="M390"/>
      <c r="N390"/>
    </row>
    <row r="391" spans="1:14" s="27" customFormat="1" x14ac:dyDescent="0.3">
      <c r="A391" s="31"/>
      <c r="B391" s="31"/>
      <c r="M391"/>
      <c r="N391"/>
    </row>
    <row r="392" spans="1:14" s="27" customFormat="1" x14ac:dyDescent="0.3">
      <c r="A392" s="31"/>
      <c r="B392" s="31"/>
      <c r="M392"/>
      <c r="N392"/>
    </row>
    <row r="393" spans="1:14" s="27" customFormat="1" x14ac:dyDescent="0.3">
      <c r="A393" s="31"/>
      <c r="B393" s="31"/>
      <c r="M393"/>
      <c r="N393"/>
    </row>
    <row r="394" spans="1:14" s="27" customFormat="1" x14ac:dyDescent="0.3">
      <c r="A394" s="31"/>
      <c r="B394" s="31"/>
      <c r="M394"/>
      <c r="N394"/>
    </row>
    <row r="395" spans="1:14" s="27" customFormat="1" x14ac:dyDescent="0.3">
      <c r="A395" s="31"/>
      <c r="B395" s="31"/>
      <c r="M395"/>
      <c r="N395"/>
    </row>
    <row r="396" spans="1:14" s="27" customFormat="1" x14ac:dyDescent="0.3">
      <c r="A396" s="31"/>
      <c r="B396" s="31"/>
      <c r="M396"/>
      <c r="N396"/>
    </row>
    <row r="397" spans="1:14" s="27" customFormat="1" x14ac:dyDescent="0.3">
      <c r="A397" s="31"/>
      <c r="B397" s="31"/>
      <c r="M397"/>
      <c r="N397"/>
    </row>
    <row r="398" spans="1:14" s="27" customFormat="1" x14ac:dyDescent="0.3">
      <c r="A398" s="31"/>
      <c r="B398" s="31"/>
      <c r="M398"/>
      <c r="N398"/>
    </row>
    <row r="399" spans="1:14" s="27" customFormat="1" x14ac:dyDescent="0.3">
      <c r="A399" s="31"/>
      <c r="B399" s="31"/>
      <c r="M399"/>
      <c r="N399"/>
    </row>
    <row r="400" spans="1:14" s="27" customFormat="1" x14ac:dyDescent="0.3">
      <c r="A400" s="31"/>
      <c r="B400" s="31"/>
      <c r="M400"/>
      <c r="N400"/>
    </row>
    <row r="401" spans="1:14" s="27" customFormat="1" x14ac:dyDescent="0.3">
      <c r="A401" s="31"/>
      <c r="B401" s="31"/>
      <c r="M401"/>
      <c r="N401"/>
    </row>
    <row r="402" spans="1:14" s="27" customFormat="1" x14ac:dyDescent="0.3">
      <c r="A402" s="31"/>
      <c r="B402" s="31"/>
      <c r="M402"/>
      <c r="N402"/>
    </row>
    <row r="403" spans="1:14" s="27" customFormat="1" x14ac:dyDescent="0.3">
      <c r="A403" s="31"/>
      <c r="B403" s="31"/>
      <c r="M403"/>
      <c r="N403"/>
    </row>
    <row r="404" spans="1:14" s="27" customFormat="1" x14ac:dyDescent="0.3">
      <c r="A404" s="31"/>
      <c r="B404" s="31"/>
      <c r="M404"/>
      <c r="N404"/>
    </row>
    <row r="405" spans="1:14" s="27" customFormat="1" x14ac:dyDescent="0.3">
      <c r="A405" s="31"/>
      <c r="B405" s="31"/>
      <c r="M405"/>
      <c r="N405"/>
    </row>
    <row r="406" spans="1:14" s="27" customFormat="1" x14ac:dyDescent="0.3">
      <c r="A406" s="31"/>
      <c r="B406" s="31"/>
      <c r="M406"/>
      <c r="N406"/>
    </row>
    <row r="407" spans="1:14" s="27" customFormat="1" x14ac:dyDescent="0.3">
      <c r="A407" s="31"/>
      <c r="B407" s="31"/>
      <c r="M407"/>
      <c r="N407"/>
    </row>
    <row r="408" spans="1:14" s="27" customFormat="1" x14ac:dyDescent="0.3">
      <c r="A408" s="31"/>
      <c r="B408" s="31"/>
      <c r="M408"/>
      <c r="N408"/>
    </row>
    <row r="409" spans="1:14" s="27" customFormat="1" x14ac:dyDescent="0.3">
      <c r="A409" s="31"/>
      <c r="B409" s="31"/>
      <c r="M409"/>
      <c r="N409"/>
    </row>
    <row r="410" spans="1:14" s="27" customFormat="1" x14ac:dyDescent="0.3">
      <c r="A410" s="31"/>
      <c r="B410" s="31"/>
      <c r="M410"/>
      <c r="N410"/>
    </row>
    <row r="411" spans="1:14" s="27" customFormat="1" x14ac:dyDescent="0.3">
      <c r="A411" s="31"/>
      <c r="B411" s="31"/>
      <c r="M411"/>
      <c r="N411"/>
    </row>
    <row r="412" spans="1:14" s="27" customFormat="1" x14ac:dyDescent="0.3">
      <c r="A412" s="31"/>
      <c r="B412" s="31"/>
      <c r="M412"/>
      <c r="N412"/>
    </row>
    <row r="413" spans="1:14" s="27" customFormat="1" x14ac:dyDescent="0.3">
      <c r="A413" s="31"/>
      <c r="B413" s="31"/>
      <c r="M413"/>
      <c r="N413"/>
    </row>
    <row r="414" spans="1:14" s="27" customFormat="1" x14ac:dyDescent="0.3">
      <c r="A414" s="31"/>
      <c r="B414" s="31"/>
      <c r="M414"/>
      <c r="N414"/>
    </row>
    <row r="415" spans="1:14" s="27" customFormat="1" x14ac:dyDescent="0.3">
      <c r="A415" s="31"/>
      <c r="B415" s="31"/>
      <c r="M415"/>
      <c r="N415"/>
    </row>
    <row r="416" spans="1:14" s="27" customFormat="1" x14ac:dyDescent="0.3">
      <c r="A416" s="31"/>
      <c r="B416" s="31"/>
      <c r="M416"/>
      <c r="N416"/>
    </row>
    <row r="417" spans="1:14" s="27" customFormat="1" x14ac:dyDescent="0.3">
      <c r="A417" s="31"/>
      <c r="B417" s="31"/>
      <c r="M417"/>
      <c r="N417"/>
    </row>
    <row r="418" spans="1:14" s="27" customFormat="1" x14ac:dyDescent="0.3">
      <c r="A418" s="31"/>
      <c r="B418" s="31"/>
      <c r="M418"/>
      <c r="N418"/>
    </row>
    <row r="419" spans="1:14" s="27" customFormat="1" x14ac:dyDescent="0.3">
      <c r="A419" s="31"/>
      <c r="B419" s="31"/>
      <c r="M419"/>
      <c r="N419"/>
    </row>
    <row r="420" spans="1:14" s="27" customFormat="1" x14ac:dyDescent="0.3">
      <c r="A420" s="31"/>
      <c r="B420" s="31"/>
      <c r="M420"/>
      <c r="N420"/>
    </row>
    <row r="421" spans="1:14" s="27" customFormat="1" x14ac:dyDescent="0.3">
      <c r="A421" s="31"/>
      <c r="B421" s="31"/>
      <c r="M421"/>
      <c r="N421"/>
    </row>
    <row r="422" spans="1:14" s="27" customFormat="1" x14ac:dyDescent="0.3">
      <c r="A422" s="31"/>
      <c r="B422" s="31"/>
      <c r="M422"/>
      <c r="N422"/>
    </row>
    <row r="423" spans="1:14" s="27" customFormat="1" x14ac:dyDescent="0.3">
      <c r="A423" s="31"/>
      <c r="B423" s="31"/>
      <c r="M423"/>
      <c r="N423"/>
    </row>
    <row r="424" spans="1:14" s="27" customFormat="1" x14ac:dyDescent="0.3">
      <c r="A424" s="31"/>
      <c r="B424" s="31"/>
      <c r="M424"/>
      <c r="N424"/>
    </row>
    <row r="425" spans="1:14" s="27" customFormat="1" x14ac:dyDescent="0.3">
      <c r="A425" s="31"/>
      <c r="B425" s="31"/>
      <c r="M425"/>
      <c r="N425"/>
    </row>
    <row r="426" spans="1:14" s="27" customFormat="1" x14ac:dyDescent="0.3">
      <c r="A426" s="31"/>
      <c r="B426" s="31"/>
      <c r="M426"/>
      <c r="N426"/>
    </row>
    <row r="427" spans="1:14" s="27" customFormat="1" x14ac:dyDescent="0.3">
      <c r="A427" s="31"/>
      <c r="B427" s="31"/>
      <c r="M427"/>
      <c r="N427"/>
    </row>
    <row r="428" spans="1:14" s="27" customFormat="1" x14ac:dyDescent="0.3">
      <c r="A428" s="31"/>
      <c r="B428" s="31"/>
      <c r="M428"/>
      <c r="N428"/>
    </row>
    <row r="429" spans="1:14" s="27" customFormat="1" x14ac:dyDescent="0.3">
      <c r="A429" s="31"/>
      <c r="B429" s="31"/>
      <c r="M429"/>
      <c r="N429"/>
    </row>
    <row r="430" spans="1:14" s="27" customFormat="1" x14ac:dyDescent="0.3">
      <c r="A430" s="31"/>
      <c r="B430" s="31"/>
      <c r="M430"/>
      <c r="N430"/>
    </row>
    <row r="431" spans="1:14" s="27" customFormat="1" x14ac:dyDescent="0.3">
      <c r="A431" s="31"/>
      <c r="B431" s="31"/>
      <c r="M431"/>
      <c r="N431"/>
    </row>
    <row r="432" spans="1:14" s="27" customFormat="1" x14ac:dyDescent="0.3">
      <c r="A432" s="31"/>
      <c r="B432" s="31"/>
      <c r="M432"/>
      <c r="N432"/>
    </row>
    <row r="433" spans="1:14" s="27" customFormat="1" x14ac:dyDescent="0.3">
      <c r="A433" s="31"/>
      <c r="B433" s="31"/>
      <c r="M433"/>
      <c r="N433"/>
    </row>
    <row r="434" spans="1:14" s="27" customFormat="1" x14ac:dyDescent="0.3">
      <c r="A434" s="31"/>
      <c r="B434" s="31"/>
      <c r="M434"/>
      <c r="N434"/>
    </row>
    <row r="435" spans="1:14" s="27" customFormat="1" x14ac:dyDescent="0.3">
      <c r="A435" s="31"/>
      <c r="B435" s="31"/>
      <c r="M435"/>
      <c r="N435"/>
    </row>
    <row r="436" spans="1:14" s="27" customFormat="1" x14ac:dyDescent="0.3">
      <c r="A436" s="31"/>
      <c r="B436" s="31"/>
      <c r="M436"/>
      <c r="N436"/>
    </row>
    <row r="437" spans="1:14" s="27" customFormat="1" x14ac:dyDescent="0.3">
      <c r="A437" s="31"/>
      <c r="B437" s="31"/>
      <c r="M437"/>
      <c r="N437"/>
    </row>
    <row r="438" spans="1:14" s="27" customFormat="1" x14ac:dyDescent="0.3">
      <c r="A438" s="31"/>
      <c r="B438" s="31"/>
      <c r="M438"/>
      <c r="N438"/>
    </row>
    <row r="439" spans="1:14" s="27" customFormat="1" x14ac:dyDescent="0.3">
      <c r="A439" s="31"/>
      <c r="B439" s="31"/>
      <c r="M439"/>
      <c r="N439"/>
    </row>
    <row r="440" spans="1:14" s="27" customFormat="1" x14ac:dyDescent="0.3">
      <c r="A440" s="31"/>
      <c r="B440" s="31"/>
      <c r="M440"/>
      <c r="N440"/>
    </row>
    <row r="441" spans="1:14" s="27" customFormat="1" x14ac:dyDescent="0.3">
      <c r="A441" s="31"/>
      <c r="B441" s="31"/>
      <c r="M441"/>
      <c r="N441"/>
    </row>
    <row r="442" spans="1:14" s="27" customFormat="1" x14ac:dyDescent="0.3">
      <c r="A442" s="31"/>
      <c r="B442" s="31"/>
      <c r="M442"/>
      <c r="N442"/>
    </row>
    <row r="443" spans="1:14" s="27" customFormat="1" x14ac:dyDescent="0.3">
      <c r="A443" s="31"/>
      <c r="B443" s="31"/>
      <c r="M443"/>
      <c r="N443"/>
    </row>
    <row r="444" spans="1:14" s="27" customFormat="1" x14ac:dyDescent="0.3">
      <c r="A444" s="31"/>
      <c r="B444" s="31"/>
      <c r="M444"/>
      <c r="N444"/>
    </row>
    <row r="445" spans="1:14" s="27" customFormat="1" x14ac:dyDescent="0.3">
      <c r="A445" s="31"/>
      <c r="B445" s="31"/>
      <c r="M445"/>
      <c r="N445"/>
    </row>
    <row r="446" spans="1:14" s="27" customFormat="1" x14ac:dyDescent="0.3">
      <c r="A446" s="31"/>
      <c r="B446" s="31"/>
      <c r="M446"/>
      <c r="N446"/>
    </row>
    <row r="447" spans="1:14" s="27" customFormat="1" x14ac:dyDescent="0.3">
      <c r="A447" s="31"/>
      <c r="B447" s="31"/>
      <c r="M447"/>
      <c r="N447"/>
    </row>
    <row r="448" spans="1:14" s="27" customFormat="1" x14ac:dyDescent="0.3">
      <c r="A448" s="31"/>
      <c r="B448" s="31"/>
      <c r="M448"/>
      <c r="N448"/>
    </row>
    <row r="449" spans="1:14" s="27" customFormat="1" x14ac:dyDescent="0.3">
      <c r="A449" s="31"/>
      <c r="B449" s="31"/>
      <c r="M449"/>
      <c r="N449"/>
    </row>
    <row r="450" spans="1:14" s="27" customFormat="1" x14ac:dyDescent="0.3">
      <c r="A450" s="31"/>
      <c r="B450" s="31"/>
      <c r="M450"/>
      <c r="N450"/>
    </row>
    <row r="451" spans="1:14" s="27" customFormat="1" x14ac:dyDescent="0.3">
      <c r="A451" s="31"/>
      <c r="B451" s="31"/>
      <c r="M451"/>
      <c r="N451"/>
    </row>
    <row r="452" spans="1:14" s="27" customFormat="1" x14ac:dyDescent="0.3">
      <c r="A452" s="31"/>
      <c r="B452" s="31"/>
      <c r="M452"/>
      <c r="N452"/>
    </row>
    <row r="453" spans="1:14" s="27" customFormat="1" x14ac:dyDescent="0.3">
      <c r="A453" s="31"/>
      <c r="B453" s="31"/>
      <c r="M453"/>
      <c r="N453"/>
    </row>
    <row r="454" spans="1:14" s="27" customFormat="1" x14ac:dyDescent="0.3">
      <c r="A454" s="31"/>
      <c r="B454" s="31"/>
      <c r="M454"/>
      <c r="N454"/>
    </row>
    <row r="455" spans="1:14" s="27" customFormat="1" x14ac:dyDescent="0.3">
      <c r="A455" s="31"/>
      <c r="B455" s="31"/>
      <c r="M455"/>
      <c r="N455"/>
    </row>
    <row r="456" spans="1:14" s="27" customFormat="1" x14ac:dyDescent="0.3">
      <c r="A456" s="31"/>
      <c r="B456" s="31"/>
      <c r="M456"/>
      <c r="N456"/>
    </row>
    <row r="457" spans="1:14" s="27" customFormat="1" x14ac:dyDescent="0.3">
      <c r="A457" s="31"/>
      <c r="B457" s="31"/>
      <c r="M457"/>
      <c r="N457"/>
    </row>
    <row r="458" spans="1:14" s="27" customFormat="1" x14ac:dyDescent="0.3">
      <c r="A458" s="31"/>
      <c r="B458" s="31"/>
      <c r="M458"/>
      <c r="N458"/>
    </row>
    <row r="459" spans="1:14" s="27" customFormat="1" x14ac:dyDescent="0.3">
      <c r="A459" s="31"/>
      <c r="B459" s="31"/>
      <c r="M459"/>
      <c r="N459"/>
    </row>
    <row r="460" spans="1:14" s="27" customFormat="1" x14ac:dyDescent="0.3">
      <c r="A460" s="31"/>
      <c r="B460" s="31"/>
      <c r="M460"/>
      <c r="N460"/>
    </row>
    <row r="461" spans="1:14" s="27" customFormat="1" x14ac:dyDescent="0.3">
      <c r="A461" s="31"/>
      <c r="B461" s="31"/>
      <c r="M461"/>
      <c r="N461"/>
    </row>
    <row r="462" spans="1:14" s="27" customFormat="1" x14ac:dyDescent="0.3">
      <c r="A462" s="31"/>
      <c r="B462" s="31"/>
      <c r="M462"/>
      <c r="N462"/>
    </row>
    <row r="463" spans="1:14" s="27" customFormat="1" x14ac:dyDescent="0.3">
      <c r="A463" s="31"/>
      <c r="B463" s="31"/>
      <c r="M463"/>
      <c r="N463"/>
    </row>
    <row r="464" spans="1:14" s="27" customFormat="1" x14ac:dyDescent="0.3">
      <c r="A464" s="31"/>
      <c r="B464" s="31"/>
      <c r="M464"/>
      <c r="N464"/>
    </row>
    <row r="465" spans="1:14" s="27" customFormat="1" x14ac:dyDescent="0.3">
      <c r="A465" s="31"/>
      <c r="B465" s="31"/>
      <c r="M465"/>
      <c r="N465"/>
    </row>
    <row r="466" spans="1:14" s="27" customFormat="1" x14ac:dyDescent="0.3">
      <c r="A466" s="31"/>
      <c r="B466" s="31"/>
      <c r="M466"/>
      <c r="N466"/>
    </row>
    <row r="467" spans="1:14" s="27" customFormat="1" x14ac:dyDescent="0.3">
      <c r="A467" s="31"/>
      <c r="B467" s="31"/>
      <c r="M467"/>
      <c r="N467"/>
    </row>
    <row r="468" spans="1:14" s="27" customFormat="1" x14ac:dyDescent="0.3">
      <c r="A468" s="31"/>
      <c r="B468" s="31"/>
      <c r="M468"/>
      <c r="N468"/>
    </row>
    <row r="469" spans="1:14" s="27" customFormat="1" x14ac:dyDescent="0.3">
      <c r="A469" s="31"/>
      <c r="B469" s="31"/>
      <c r="M469"/>
      <c r="N469"/>
    </row>
    <row r="470" spans="1:14" s="27" customFormat="1" x14ac:dyDescent="0.3">
      <c r="A470" s="31"/>
      <c r="B470" s="31"/>
      <c r="M470"/>
      <c r="N470"/>
    </row>
    <row r="471" spans="1:14" s="27" customFormat="1" x14ac:dyDescent="0.3">
      <c r="A471" s="31"/>
      <c r="B471" s="31"/>
      <c r="M471"/>
      <c r="N471"/>
    </row>
    <row r="472" spans="1:14" s="27" customFormat="1" x14ac:dyDescent="0.3">
      <c r="A472" s="31"/>
      <c r="B472" s="31"/>
      <c r="M472"/>
      <c r="N472"/>
    </row>
    <row r="473" spans="1:14" s="27" customFormat="1" x14ac:dyDescent="0.3">
      <c r="A473" s="31"/>
      <c r="B473" s="31"/>
      <c r="M473"/>
      <c r="N473"/>
    </row>
    <row r="474" spans="1:14" s="27" customFormat="1" x14ac:dyDescent="0.3">
      <c r="A474" s="31"/>
      <c r="B474" s="31"/>
      <c r="M474"/>
      <c r="N474"/>
    </row>
    <row r="475" spans="1:14" s="27" customFormat="1" x14ac:dyDescent="0.3">
      <c r="A475" s="31"/>
      <c r="B475" s="31"/>
      <c r="M475"/>
      <c r="N475"/>
    </row>
    <row r="476" spans="1:14" s="27" customFormat="1" x14ac:dyDescent="0.3">
      <c r="A476" s="31"/>
      <c r="B476" s="31"/>
      <c r="M476"/>
      <c r="N476"/>
    </row>
    <row r="477" spans="1:14" s="27" customFormat="1" x14ac:dyDescent="0.3">
      <c r="A477" s="31"/>
      <c r="B477" s="31"/>
      <c r="M477"/>
      <c r="N477"/>
    </row>
    <row r="478" spans="1:14" s="27" customFormat="1" x14ac:dyDescent="0.3">
      <c r="A478" s="31"/>
      <c r="B478" s="31"/>
      <c r="M478"/>
      <c r="N478"/>
    </row>
    <row r="479" spans="1:14" s="27" customFormat="1" x14ac:dyDescent="0.3">
      <c r="A479" s="31"/>
      <c r="B479" s="31"/>
      <c r="M479"/>
      <c r="N479"/>
    </row>
    <row r="480" spans="1:14" s="27" customFormat="1" x14ac:dyDescent="0.3">
      <c r="A480" s="31"/>
      <c r="B480" s="31"/>
      <c r="M480"/>
      <c r="N480"/>
    </row>
    <row r="481" spans="1:14" s="27" customFormat="1" x14ac:dyDescent="0.3">
      <c r="A481" s="31"/>
      <c r="B481" s="31"/>
      <c r="M481"/>
      <c r="N481"/>
    </row>
    <row r="482" spans="1:14" s="27" customFormat="1" x14ac:dyDescent="0.3">
      <c r="A482" s="31"/>
      <c r="B482" s="31"/>
      <c r="M482"/>
      <c r="N482"/>
    </row>
    <row r="483" spans="1:14" s="27" customFormat="1" x14ac:dyDescent="0.3">
      <c r="A483" s="31"/>
      <c r="B483" s="31"/>
      <c r="M483"/>
      <c r="N483"/>
    </row>
    <row r="484" spans="1:14" s="27" customFormat="1" x14ac:dyDescent="0.3">
      <c r="A484" s="31"/>
      <c r="B484" s="31"/>
      <c r="M484"/>
      <c r="N484"/>
    </row>
    <row r="485" spans="1:14" s="27" customFormat="1" x14ac:dyDescent="0.3">
      <c r="A485" s="31"/>
      <c r="B485" s="31"/>
      <c r="M485"/>
      <c r="N485"/>
    </row>
    <row r="486" spans="1:14" s="27" customFormat="1" x14ac:dyDescent="0.3">
      <c r="A486" s="31"/>
      <c r="B486" s="31"/>
      <c r="M486"/>
      <c r="N486"/>
    </row>
    <row r="487" spans="1:14" s="27" customFormat="1" x14ac:dyDescent="0.3">
      <c r="A487" s="31"/>
      <c r="B487" s="31"/>
      <c r="M487"/>
      <c r="N487"/>
    </row>
    <row r="488" spans="1:14" s="27" customFormat="1" x14ac:dyDescent="0.3">
      <c r="A488" s="31"/>
      <c r="B488" s="31"/>
      <c r="M488"/>
      <c r="N488"/>
    </row>
    <row r="489" spans="1:14" s="27" customFormat="1" x14ac:dyDescent="0.3">
      <c r="A489" s="31"/>
      <c r="B489" s="31"/>
      <c r="M489"/>
      <c r="N489"/>
    </row>
    <row r="490" spans="1:14" s="27" customFormat="1" x14ac:dyDescent="0.3">
      <c r="A490" s="31"/>
      <c r="B490" s="31"/>
      <c r="M490"/>
      <c r="N490"/>
    </row>
    <row r="491" spans="1:14" s="27" customFormat="1" x14ac:dyDescent="0.3">
      <c r="A491" s="31"/>
      <c r="B491" s="31"/>
      <c r="M491"/>
      <c r="N491"/>
    </row>
    <row r="492" spans="1:14" s="27" customFormat="1" x14ac:dyDescent="0.3">
      <c r="A492" s="31"/>
      <c r="B492" s="31"/>
      <c r="M492"/>
      <c r="N492"/>
    </row>
    <row r="493" spans="1:14" s="27" customFormat="1" x14ac:dyDescent="0.3">
      <c r="A493" s="31"/>
      <c r="B493" s="31"/>
      <c r="M493"/>
      <c r="N493"/>
    </row>
    <row r="494" spans="1:14" s="27" customFormat="1" x14ac:dyDescent="0.3">
      <c r="A494" s="31"/>
      <c r="B494" s="31"/>
      <c r="M494"/>
      <c r="N494"/>
    </row>
    <row r="495" spans="1:14" s="27" customFormat="1" x14ac:dyDescent="0.3">
      <c r="A495" s="31"/>
      <c r="B495" s="31"/>
      <c r="M495"/>
      <c r="N495"/>
    </row>
    <row r="496" spans="1:14" s="27" customFormat="1" x14ac:dyDescent="0.3">
      <c r="A496" s="31"/>
      <c r="B496" s="31"/>
      <c r="M496"/>
      <c r="N496"/>
    </row>
    <row r="497" spans="1:14" s="27" customFormat="1" x14ac:dyDescent="0.3">
      <c r="A497" s="31"/>
      <c r="B497" s="31"/>
      <c r="M497"/>
      <c r="N497"/>
    </row>
    <row r="498" spans="1:14" s="27" customFormat="1" x14ac:dyDescent="0.3">
      <c r="A498" s="31"/>
      <c r="B498" s="31"/>
      <c r="M498"/>
      <c r="N498"/>
    </row>
    <row r="499" spans="1:14" s="27" customFormat="1" x14ac:dyDescent="0.3">
      <c r="A499" s="31"/>
      <c r="B499" s="31"/>
      <c r="M499"/>
      <c r="N499"/>
    </row>
    <row r="500" spans="1:14" s="27" customFormat="1" x14ac:dyDescent="0.3">
      <c r="A500" s="31"/>
      <c r="B500" s="31"/>
      <c r="M500"/>
      <c r="N500"/>
    </row>
    <row r="501" spans="1:14" s="27" customFormat="1" x14ac:dyDescent="0.3">
      <c r="A501" s="31"/>
      <c r="B501" s="31"/>
      <c r="M501"/>
      <c r="N501"/>
    </row>
    <row r="502" spans="1:14" s="27" customFormat="1" x14ac:dyDescent="0.3">
      <c r="A502" s="31"/>
      <c r="B502" s="31"/>
      <c r="M502"/>
      <c r="N502"/>
    </row>
    <row r="503" spans="1:14" s="27" customFormat="1" x14ac:dyDescent="0.3">
      <c r="A503" s="31"/>
      <c r="B503" s="31"/>
      <c r="M503"/>
      <c r="N503"/>
    </row>
    <row r="504" spans="1:14" s="27" customFormat="1" x14ac:dyDescent="0.3">
      <c r="A504" s="31"/>
      <c r="B504" s="31"/>
      <c r="M504"/>
      <c r="N504"/>
    </row>
    <row r="505" spans="1:14" s="27" customFormat="1" x14ac:dyDescent="0.3">
      <c r="A505" s="31"/>
      <c r="B505" s="31"/>
      <c r="M505"/>
      <c r="N505"/>
    </row>
    <row r="506" spans="1:14" s="27" customFormat="1" x14ac:dyDescent="0.3">
      <c r="A506" s="31"/>
      <c r="B506" s="31"/>
      <c r="M506"/>
      <c r="N506"/>
    </row>
    <row r="507" spans="1:14" s="27" customFormat="1" x14ac:dyDescent="0.3">
      <c r="A507" s="31"/>
      <c r="B507" s="31"/>
      <c r="M507"/>
      <c r="N507"/>
    </row>
    <row r="508" spans="1:14" s="27" customFormat="1" x14ac:dyDescent="0.3">
      <c r="A508" s="31"/>
      <c r="B508" s="31"/>
      <c r="M508"/>
      <c r="N508"/>
    </row>
    <row r="509" spans="1:14" s="27" customFormat="1" x14ac:dyDescent="0.3">
      <c r="A509" s="31"/>
      <c r="B509" s="31"/>
      <c r="M509"/>
      <c r="N509"/>
    </row>
    <row r="510" spans="1:14" s="27" customFormat="1" x14ac:dyDescent="0.3">
      <c r="A510" s="31"/>
      <c r="B510" s="31"/>
      <c r="M510"/>
      <c r="N510"/>
    </row>
    <row r="511" spans="1:14" s="27" customFormat="1" x14ac:dyDescent="0.3">
      <c r="A511" s="31"/>
      <c r="B511" s="31"/>
      <c r="M511"/>
      <c r="N511"/>
    </row>
    <row r="512" spans="1:14" s="27" customFormat="1" x14ac:dyDescent="0.3">
      <c r="A512" s="31"/>
      <c r="B512" s="31"/>
      <c r="M512"/>
      <c r="N512"/>
    </row>
    <row r="513" spans="1:14" s="27" customFormat="1" x14ac:dyDescent="0.3">
      <c r="A513" s="31"/>
      <c r="B513" s="31"/>
      <c r="M513"/>
      <c r="N513"/>
    </row>
    <row r="514" spans="1:14" s="27" customFormat="1" x14ac:dyDescent="0.3">
      <c r="A514" s="31"/>
      <c r="B514" s="31"/>
      <c r="M514"/>
      <c r="N514"/>
    </row>
    <row r="515" spans="1:14" s="27" customFormat="1" x14ac:dyDescent="0.3">
      <c r="A515" s="31"/>
      <c r="B515" s="31"/>
      <c r="M515"/>
      <c r="N515"/>
    </row>
    <row r="516" spans="1:14" s="27" customFormat="1" x14ac:dyDescent="0.3">
      <c r="A516" s="31"/>
      <c r="B516" s="31"/>
      <c r="M516"/>
      <c r="N516"/>
    </row>
    <row r="517" spans="1:14" s="27" customFormat="1" x14ac:dyDescent="0.3">
      <c r="A517" s="31"/>
      <c r="B517" s="31"/>
      <c r="M517"/>
      <c r="N517"/>
    </row>
    <row r="518" spans="1:14" s="27" customFormat="1" x14ac:dyDescent="0.3">
      <c r="A518" s="31"/>
      <c r="B518" s="31"/>
      <c r="M518"/>
      <c r="N518"/>
    </row>
    <row r="519" spans="1:14" s="27" customFormat="1" x14ac:dyDescent="0.3">
      <c r="A519" s="31"/>
      <c r="B519" s="31"/>
      <c r="M519"/>
      <c r="N519"/>
    </row>
    <row r="520" spans="1:14" s="27" customFormat="1" x14ac:dyDescent="0.3">
      <c r="A520" s="31"/>
      <c r="B520" s="31"/>
      <c r="M520"/>
      <c r="N520"/>
    </row>
    <row r="521" spans="1:14" s="27" customFormat="1" x14ac:dyDescent="0.3">
      <c r="A521" s="31"/>
      <c r="B521" s="31"/>
      <c r="M521"/>
      <c r="N521"/>
    </row>
    <row r="522" spans="1:14" s="27" customFormat="1" x14ac:dyDescent="0.3">
      <c r="A522" s="31"/>
      <c r="B522" s="31"/>
      <c r="M522"/>
      <c r="N522"/>
    </row>
    <row r="523" spans="1:14" s="27" customFormat="1" x14ac:dyDescent="0.3">
      <c r="A523" s="31"/>
      <c r="B523" s="31"/>
      <c r="M523"/>
      <c r="N523"/>
    </row>
    <row r="524" spans="1:14" s="27" customFormat="1" x14ac:dyDescent="0.3">
      <c r="A524" s="31"/>
      <c r="B524" s="31"/>
      <c r="M524"/>
      <c r="N524"/>
    </row>
    <row r="525" spans="1:14" s="27" customFormat="1" x14ac:dyDescent="0.3">
      <c r="A525" s="31"/>
      <c r="B525" s="31"/>
      <c r="M525"/>
      <c r="N525"/>
    </row>
    <row r="526" spans="1:14" s="27" customFormat="1" x14ac:dyDescent="0.3">
      <c r="A526" s="31"/>
      <c r="B526" s="31"/>
      <c r="M526"/>
      <c r="N526"/>
    </row>
    <row r="527" spans="1:14" s="27" customFormat="1" x14ac:dyDescent="0.3">
      <c r="A527" s="31"/>
      <c r="B527" s="31"/>
      <c r="M527"/>
      <c r="N527"/>
    </row>
    <row r="528" spans="1:14" s="27" customFormat="1" x14ac:dyDescent="0.3">
      <c r="A528" s="31"/>
      <c r="B528" s="31"/>
      <c r="M528"/>
      <c r="N528"/>
    </row>
    <row r="529" spans="1:14" s="27" customFormat="1" x14ac:dyDescent="0.3">
      <c r="A529" s="31"/>
      <c r="B529" s="31"/>
      <c r="M529"/>
      <c r="N529"/>
    </row>
    <row r="530" spans="1:14" s="27" customFormat="1" x14ac:dyDescent="0.3">
      <c r="A530" s="31"/>
      <c r="B530" s="31"/>
      <c r="M530"/>
      <c r="N530"/>
    </row>
    <row r="531" spans="1:14" s="27" customFormat="1" x14ac:dyDescent="0.3">
      <c r="A531" s="31"/>
      <c r="B531" s="31"/>
      <c r="M531"/>
      <c r="N531"/>
    </row>
    <row r="532" spans="1:14" s="27" customFormat="1" x14ac:dyDescent="0.3">
      <c r="A532" s="31"/>
      <c r="B532" s="31"/>
      <c r="M532"/>
      <c r="N532"/>
    </row>
    <row r="533" spans="1:14" s="27" customFormat="1" x14ac:dyDescent="0.3">
      <c r="A533" s="31"/>
      <c r="B533" s="31"/>
      <c r="M533"/>
      <c r="N533"/>
    </row>
    <row r="534" spans="1:14" s="27" customFormat="1" x14ac:dyDescent="0.3">
      <c r="A534" s="31"/>
      <c r="B534" s="31"/>
      <c r="M534"/>
      <c r="N534"/>
    </row>
    <row r="535" spans="1:14" s="27" customFormat="1" x14ac:dyDescent="0.3">
      <c r="A535" s="31"/>
      <c r="B535" s="31"/>
      <c r="M535"/>
      <c r="N535"/>
    </row>
    <row r="536" spans="1:14" s="27" customFormat="1" x14ac:dyDescent="0.3">
      <c r="A536" s="31"/>
      <c r="B536" s="31"/>
      <c r="M536"/>
      <c r="N536"/>
    </row>
    <row r="537" spans="1:14" s="27" customFormat="1" x14ac:dyDescent="0.3">
      <c r="A537" s="31"/>
      <c r="B537" s="31"/>
      <c r="M537"/>
      <c r="N537"/>
    </row>
    <row r="538" spans="1:14" s="27" customFormat="1" x14ac:dyDescent="0.3">
      <c r="A538" s="31"/>
      <c r="B538" s="31"/>
      <c r="M538"/>
      <c r="N538"/>
    </row>
    <row r="539" spans="1:14" s="27" customFormat="1" x14ac:dyDescent="0.3">
      <c r="A539" s="31"/>
      <c r="B539" s="31"/>
      <c r="M539"/>
      <c r="N539"/>
    </row>
    <row r="540" spans="1:14" s="27" customFormat="1" x14ac:dyDescent="0.3">
      <c r="A540" s="31"/>
      <c r="B540" s="31"/>
      <c r="M540"/>
      <c r="N540"/>
    </row>
    <row r="541" spans="1:14" s="27" customFormat="1" x14ac:dyDescent="0.3">
      <c r="A541" s="31"/>
      <c r="B541" s="31"/>
      <c r="M541"/>
      <c r="N541"/>
    </row>
    <row r="542" spans="1:14" s="27" customFormat="1" x14ac:dyDescent="0.3">
      <c r="A542" s="31"/>
      <c r="B542" s="31"/>
      <c r="M542"/>
      <c r="N542"/>
    </row>
    <row r="543" spans="1:14" s="27" customFormat="1" x14ac:dyDescent="0.3">
      <c r="A543" s="31"/>
      <c r="B543" s="31"/>
      <c r="M543"/>
      <c r="N543"/>
    </row>
    <row r="544" spans="1:14" s="27" customFormat="1" x14ac:dyDescent="0.3">
      <c r="A544" s="31"/>
      <c r="B544" s="31"/>
      <c r="M544"/>
      <c r="N544"/>
    </row>
    <row r="545" spans="1:14" s="27" customFormat="1" x14ac:dyDescent="0.3">
      <c r="A545" s="31"/>
      <c r="B545" s="31"/>
      <c r="M545"/>
      <c r="N545"/>
    </row>
    <row r="546" spans="1:14" s="27" customFormat="1" x14ac:dyDescent="0.3">
      <c r="A546" s="31"/>
      <c r="B546" s="31"/>
      <c r="M546"/>
      <c r="N546"/>
    </row>
    <row r="547" spans="1:14" s="27" customFormat="1" x14ac:dyDescent="0.3">
      <c r="A547" s="31"/>
      <c r="B547" s="31"/>
      <c r="M547"/>
      <c r="N547"/>
    </row>
    <row r="548" spans="1:14" s="27" customFormat="1" x14ac:dyDescent="0.3">
      <c r="A548" s="31"/>
      <c r="B548" s="31"/>
      <c r="M548"/>
      <c r="N548"/>
    </row>
    <row r="549" spans="1:14" s="27" customFormat="1" x14ac:dyDescent="0.3">
      <c r="A549" s="31"/>
      <c r="B549" s="31"/>
      <c r="M549"/>
      <c r="N549"/>
    </row>
    <row r="550" spans="1:14" s="27" customFormat="1" x14ac:dyDescent="0.3">
      <c r="A550" s="31"/>
      <c r="B550" s="31"/>
      <c r="M550"/>
      <c r="N550"/>
    </row>
    <row r="551" spans="1:14" s="27" customFormat="1" x14ac:dyDescent="0.3">
      <c r="A551" s="31"/>
      <c r="B551" s="31"/>
      <c r="M551"/>
      <c r="N551"/>
    </row>
    <row r="552" spans="1:14" s="27" customFormat="1" x14ac:dyDescent="0.3">
      <c r="A552" s="31"/>
      <c r="B552" s="31"/>
      <c r="M552"/>
      <c r="N552"/>
    </row>
    <row r="553" spans="1:14" s="27" customFormat="1" x14ac:dyDescent="0.3">
      <c r="A553" s="31"/>
      <c r="B553" s="31"/>
      <c r="M553"/>
      <c r="N553"/>
    </row>
    <row r="554" spans="1:14" s="27" customFormat="1" x14ac:dyDescent="0.3">
      <c r="A554" s="31"/>
      <c r="B554" s="31"/>
      <c r="M554"/>
      <c r="N554"/>
    </row>
    <row r="555" spans="1:14" s="27" customFormat="1" x14ac:dyDescent="0.3">
      <c r="A555" s="31"/>
      <c r="B555" s="31"/>
      <c r="M555"/>
      <c r="N555"/>
    </row>
    <row r="556" spans="1:14" s="27" customFormat="1" x14ac:dyDescent="0.3">
      <c r="A556" s="31"/>
      <c r="B556" s="31"/>
      <c r="M556"/>
      <c r="N556"/>
    </row>
    <row r="557" spans="1:14" s="27" customFormat="1" x14ac:dyDescent="0.3">
      <c r="A557" s="31"/>
      <c r="B557" s="31"/>
      <c r="M557"/>
      <c r="N557"/>
    </row>
    <row r="558" spans="1:14" s="27" customFormat="1" x14ac:dyDescent="0.3">
      <c r="A558" s="31"/>
      <c r="B558" s="31"/>
      <c r="M558"/>
      <c r="N558"/>
    </row>
    <row r="559" spans="1:14" s="27" customFormat="1" x14ac:dyDescent="0.3">
      <c r="A559" s="31"/>
      <c r="B559" s="31"/>
      <c r="M559"/>
      <c r="N559"/>
    </row>
    <row r="560" spans="1:14" s="27" customFormat="1" x14ac:dyDescent="0.3">
      <c r="A560" s="31"/>
      <c r="B560" s="31"/>
      <c r="M560"/>
      <c r="N560"/>
    </row>
    <row r="561" spans="1:14" s="27" customFormat="1" x14ac:dyDescent="0.3">
      <c r="A561" s="31"/>
      <c r="B561" s="31"/>
      <c r="M561"/>
      <c r="N561"/>
    </row>
    <row r="562" spans="1:14" s="27" customFormat="1" x14ac:dyDescent="0.3">
      <c r="A562" s="31"/>
      <c r="B562" s="31"/>
      <c r="M562"/>
      <c r="N562"/>
    </row>
    <row r="563" spans="1:14" s="27" customFormat="1" x14ac:dyDescent="0.3">
      <c r="A563" s="31"/>
      <c r="B563" s="31"/>
      <c r="M563"/>
      <c r="N563"/>
    </row>
    <row r="564" spans="1:14" s="27" customFormat="1" x14ac:dyDescent="0.3">
      <c r="A564" s="31"/>
      <c r="B564" s="31"/>
      <c r="M564"/>
      <c r="N564"/>
    </row>
    <row r="565" spans="1:14" s="27" customFormat="1" x14ac:dyDescent="0.3">
      <c r="A565" s="31"/>
      <c r="B565" s="31"/>
      <c r="M565"/>
      <c r="N565"/>
    </row>
    <row r="566" spans="1:14" s="27" customFormat="1" x14ac:dyDescent="0.3">
      <c r="A566" s="31"/>
      <c r="B566" s="31"/>
      <c r="M566"/>
      <c r="N566"/>
    </row>
    <row r="567" spans="1:14" s="27" customFormat="1" x14ac:dyDescent="0.3">
      <c r="A567" s="31"/>
      <c r="B567" s="31"/>
      <c r="M567"/>
      <c r="N567"/>
    </row>
    <row r="568" spans="1:14" s="27" customFormat="1" x14ac:dyDescent="0.3">
      <c r="A568" s="31"/>
      <c r="B568" s="31"/>
      <c r="M568"/>
      <c r="N568"/>
    </row>
    <row r="569" spans="1:14" s="27" customFormat="1" x14ac:dyDescent="0.3">
      <c r="A569" s="31"/>
      <c r="B569" s="31"/>
      <c r="M569"/>
      <c r="N569"/>
    </row>
    <row r="570" spans="1:14" s="27" customFormat="1" x14ac:dyDescent="0.3">
      <c r="A570" s="31"/>
      <c r="B570" s="31"/>
      <c r="M570"/>
      <c r="N570"/>
    </row>
    <row r="571" spans="1:14" s="27" customFormat="1" x14ac:dyDescent="0.3">
      <c r="A571" s="31"/>
      <c r="B571" s="31"/>
      <c r="M571"/>
      <c r="N571"/>
    </row>
    <row r="572" spans="1:14" s="27" customFormat="1" x14ac:dyDescent="0.3">
      <c r="A572" s="31"/>
      <c r="B572" s="31"/>
      <c r="M572"/>
      <c r="N572"/>
    </row>
    <row r="573" spans="1:14" s="27" customFormat="1" x14ac:dyDescent="0.3">
      <c r="A573" s="31"/>
      <c r="B573" s="31"/>
      <c r="M573"/>
      <c r="N573"/>
    </row>
    <row r="574" spans="1:14" s="27" customFormat="1" x14ac:dyDescent="0.3">
      <c r="A574" s="31"/>
      <c r="B574" s="31"/>
      <c r="M574"/>
      <c r="N574"/>
    </row>
    <row r="575" spans="1:14" s="27" customFormat="1" x14ac:dyDescent="0.3">
      <c r="A575" s="31"/>
      <c r="B575" s="31"/>
      <c r="M575"/>
      <c r="N575"/>
    </row>
    <row r="576" spans="1:14" s="27" customFormat="1" x14ac:dyDescent="0.3">
      <c r="A576" s="31"/>
      <c r="B576" s="31"/>
      <c r="M576"/>
      <c r="N576"/>
    </row>
    <row r="577" spans="1:14" s="27" customFormat="1" x14ac:dyDescent="0.3">
      <c r="A577" s="31"/>
      <c r="B577" s="31"/>
      <c r="M577"/>
      <c r="N577"/>
    </row>
    <row r="578" spans="1:14" s="27" customFormat="1" x14ac:dyDescent="0.3">
      <c r="A578" s="31"/>
      <c r="B578" s="31"/>
      <c r="M578"/>
      <c r="N578"/>
    </row>
    <row r="579" spans="1:14" s="27" customFormat="1" x14ac:dyDescent="0.3">
      <c r="A579" s="31"/>
      <c r="B579" s="31"/>
      <c r="M579"/>
      <c r="N579"/>
    </row>
    <row r="580" spans="1:14" s="27" customFormat="1" x14ac:dyDescent="0.3">
      <c r="A580" s="31"/>
      <c r="B580" s="31"/>
      <c r="M580"/>
      <c r="N580"/>
    </row>
    <row r="581" spans="1:14" s="27" customFormat="1" x14ac:dyDescent="0.3">
      <c r="A581" s="31"/>
      <c r="B581" s="31"/>
      <c r="M581"/>
      <c r="N581"/>
    </row>
    <row r="582" spans="1:14" s="27" customFormat="1" x14ac:dyDescent="0.3">
      <c r="A582" s="31"/>
      <c r="B582" s="31"/>
      <c r="M582"/>
      <c r="N582"/>
    </row>
    <row r="583" spans="1:14" s="27" customFormat="1" x14ac:dyDescent="0.3">
      <c r="A583" s="31"/>
      <c r="B583" s="31"/>
      <c r="M583"/>
      <c r="N583"/>
    </row>
    <row r="584" spans="1:14" s="27" customFormat="1" x14ac:dyDescent="0.3">
      <c r="A584" s="31"/>
      <c r="B584" s="31"/>
      <c r="M584"/>
      <c r="N584"/>
    </row>
    <row r="585" spans="1:14" s="27" customFormat="1" x14ac:dyDescent="0.3">
      <c r="A585" s="31"/>
      <c r="B585" s="31"/>
      <c r="M585"/>
      <c r="N585"/>
    </row>
    <row r="586" spans="1:14" s="27" customFormat="1" x14ac:dyDescent="0.3">
      <c r="A586" s="31"/>
      <c r="B586" s="31"/>
      <c r="M586"/>
      <c r="N586"/>
    </row>
    <row r="587" spans="1:14" s="27" customFormat="1" x14ac:dyDescent="0.3">
      <c r="A587" s="31"/>
      <c r="B587" s="31"/>
      <c r="M587"/>
      <c r="N587"/>
    </row>
    <row r="588" spans="1:14" s="27" customFormat="1" x14ac:dyDescent="0.3">
      <c r="A588" s="31"/>
      <c r="B588" s="31"/>
      <c r="M588"/>
      <c r="N588"/>
    </row>
    <row r="589" spans="1:14" s="27" customFormat="1" x14ac:dyDescent="0.3">
      <c r="A589" s="31"/>
      <c r="B589" s="31"/>
      <c r="M589"/>
      <c r="N589"/>
    </row>
    <row r="590" spans="1:14" s="27" customFormat="1" x14ac:dyDescent="0.3">
      <c r="A590" s="31"/>
      <c r="B590" s="31"/>
      <c r="M590"/>
      <c r="N590"/>
    </row>
    <row r="591" spans="1:14" s="27" customFormat="1" x14ac:dyDescent="0.3">
      <c r="A591" s="31"/>
      <c r="B591" s="31"/>
      <c r="M591"/>
      <c r="N591"/>
    </row>
    <row r="592" spans="1:14" s="27" customFormat="1" x14ac:dyDescent="0.3">
      <c r="A592" s="31"/>
      <c r="B592" s="31"/>
      <c r="M592"/>
      <c r="N592"/>
    </row>
    <row r="593" spans="1:14" s="27" customFormat="1" x14ac:dyDescent="0.3">
      <c r="A593" s="31"/>
      <c r="B593" s="31"/>
      <c r="M593"/>
      <c r="N593"/>
    </row>
    <row r="594" spans="1:14" s="27" customFormat="1" x14ac:dyDescent="0.3">
      <c r="A594" s="31"/>
      <c r="B594" s="31"/>
      <c r="M594"/>
      <c r="N594"/>
    </row>
    <row r="595" spans="1:14" s="27" customFormat="1" x14ac:dyDescent="0.3">
      <c r="A595" s="31"/>
      <c r="B595" s="31"/>
      <c r="M595"/>
      <c r="N595"/>
    </row>
    <row r="596" spans="1:14" s="27" customFormat="1" x14ac:dyDescent="0.3">
      <c r="A596" s="31"/>
      <c r="B596" s="31"/>
      <c r="M596"/>
      <c r="N596"/>
    </row>
    <row r="597" spans="1:14" s="27" customFormat="1" x14ac:dyDescent="0.3">
      <c r="A597" s="31"/>
      <c r="B597" s="31"/>
      <c r="M597"/>
      <c r="N597"/>
    </row>
    <row r="598" spans="1:14" s="27" customFormat="1" x14ac:dyDescent="0.3">
      <c r="A598" s="31"/>
      <c r="B598" s="31"/>
      <c r="M598"/>
      <c r="N598"/>
    </row>
    <row r="599" spans="1:14" s="27" customFormat="1" x14ac:dyDescent="0.3">
      <c r="A599" s="31"/>
      <c r="B599" s="31"/>
      <c r="M599"/>
      <c r="N599"/>
    </row>
    <row r="600" spans="1:14" s="27" customFormat="1" x14ac:dyDescent="0.3">
      <c r="A600" s="31"/>
      <c r="B600" s="31"/>
      <c r="M600"/>
      <c r="N600"/>
    </row>
    <row r="601" spans="1:14" s="27" customFormat="1" x14ac:dyDescent="0.3">
      <c r="A601" s="31"/>
      <c r="B601" s="31"/>
      <c r="M601"/>
      <c r="N601"/>
    </row>
    <row r="602" spans="1:14" s="27" customFormat="1" x14ac:dyDescent="0.3">
      <c r="A602" s="31"/>
      <c r="B602" s="31"/>
      <c r="M602"/>
      <c r="N602"/>
    </row>
    <row r="603" spans="1:14" s="27" customFormat="1" x14ac:dyDescent="0.3">
      <c r="A603" s="31"/>
      <c r="B603" s="31"/>
      <c r="M603"/>
      <c r="N603"/>
    </row>
    <row r="604" spans="1:14" s="27" customFormat="1" x14ac:dyDescent="0.3">
      <c r="A604" s="31"/>
      <c r="B604" s="31"/>
      <c r="M604"/>
      <c r="N604"/>
    </row>
    <row r="605" spans="1:14" s="27" customFormat="1" x14ac:dyDescent="0.3">
      <c r="A605" s="31"/>
      <c r="B605" s="31"/>
      <c r="M605"/>
      <c r="N605"/>
    </row>
    <row r="606" spans="1:14" s="27" customFormat="1" x14ac:dyDescent="0.3">
      <c r="A606" s="31"/>
      <c r="B606" s="31"/>
      <c r="M606"/>
      <c r="N606"/>
    </row>
    <row r="607" spans="1:14" s="27" customFormat="1" x14ac:dyDescent="0.3">
      <c r="A607" s="31"/>
      <c r="B607" s="31"/>
      <c r="M607"/>
      <c r="N607"/>
    </row>
    <row r="608" spans="1:14" s="27" customFormat="1" x14ac:dyDescent="0.3">
      <c r="A608" s="31"/>
      <c r="B608" s="31"/>
      <c r="M608"/>
      <c r="N608"/>
    </row>
    <row r="609" spans="1:14" s="27" customFormat="1" x14ac:dyDescent="0.3">
      <c r="A609" s="31"/>
      <c r="B609" s="31"/>
      <c r="M609"/>
      <c r="N609"/>
    </row>
    <row r="610" spans="1:14" s="27" customFormat="1" x14ac:dyDescent="0.3">
      <c r="A610" s="31"/>
      <c r="B610" s="31"/>
      <c r="M610"/>
      <c r="N610"/>
    </row>
    <row r="611" spans="1:14" s="27" customFormat="1" x14ac:dyDescent="0.3">
      <c r="A611" s="31"/>
      <c r="B611" s="31"/>
      <c r="M611"/>
      <c r="N611"/>
    </row>
    <row r="612" spans="1:14" s="27" customFormat="1" x14ac:dyDescent="0.3">
      <c r="A612" s="31"/>
      <c r="B612" s="31"/>
      <c r="M612"/>
      <c r="N612"/>
    </row>
    <row r="613" spans="1:14" s="27" customFormat="1" x14ac:dyDescent="0.3">
      <c r="A613" s="31"/>
      <c r="B613" s="31"/>
      <c r="M613"/>
      <c r="N613"/>
    </row>
    <row r="614" spans="1:14" s="27" customFormat="1" x14ac:dyDescent="0.3">
      <c r="A614" s="31"/>
      <c r="B614" s="31"/>
      <c r="M614"/>
      <c r="N614"/>
    </row>
    <row r="615" spans="1:14" s="27" customFormat="1" x14ac:dyDescent="0.3">
      <c r="A615" s="31"/>
      <c r="B615" s="31"/>
      <c r="M615"/>
      <c r="N615"/>
    </row>
    <row r="616" spans="1:14" s="27" customFormat="1" x14ac:dyDescent="0.3">
      <c r="A616" s="31"/>
      <c r="B616" s="31"/>
      <c r="M616"/>
      <c r="N616"/>
    </row>
  </sheetData>
  <phoneticPr fontId="7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M A</cp:lastModifiedBy>
  <dcterms:created xsi:type="dcterms:W3CDTF">2023-03-14T11:01:16Z</dcterms:created>
  <dcterms:modified xsi:type="dcterms:W3CDTF">2026-02-02T15:49:37Z</dcterms:modified>
</cp:coreProperties>
</file>