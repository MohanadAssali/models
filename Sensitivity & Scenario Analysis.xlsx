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7FD4D8B-2470-4D88-9D18-39D393009DEA}" xr6:coauthVersionLast="47" xr6:coauthVersionMax="47" xr10:uidLastSave="{00000000-0000-0000-0000-000000000000}"/>
  <bookViews>
    <workbookView xWindow="-120" yWindow="-120" windowWidth="29040" windowHeight="15720" xr2:uid="{8F5191C8-47CB-4EE2-A5A1-3D33F0C78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H23" i="1"/>
  <c r="G23" i="1"/>
  <c r="F23" i="1"/>
  <c r="F24" i="1" l="1"/>
</calcChain>
</file>

<file path=xl/sharedStrings.xml><?xml version="1.0" encoding="utf-8"?>
<sst xmlns="http://schemas.openxmlformats.org/spreadsheetml/2006/main" count="22" uniqueCount="21">
  <si>
    <t>Price</t>
  </si>
  <si>
    <t>NOPAT Margin</t>
  </si>
  <si>
    <t>g</t>
  </si>
  <si>
    <t>WAAC</t>
  </si>
  <si>
    <t>Base</t>
  </si>
  <si>
    <t>Sensitivity Table</t>
  </si>
  <si>
    <t>Scenario Analysis</t>
  </si>
  <si>
    <t>Revenue Growth</t>
  </si>
  <si>
    <t>Bull Case</t>
  </si>
  <si>
    <t>Base Case: Broadcom executes in line with expectations, supported by continued AI demand</t>
  </si>
  <si>
    <t>AI-driven demand exceeds expectations, supported by sustained hyperscaler spending</t>
  </si>
  <si>
    <t>Bear Case: AI-related equity valuations peak, leading to multiple compression and slower order growth</t>
  </si>
  <si>
    <t>Scenarios</t>
  </si>
  <si>
    <t>Bear (30%)</t>
  </si>
  <si>
    <t>Bull (30%)</t>
  </si>
  <si>
    <t>Base (40%)</t>
  </si>
  <si>
    <t>Contribution</t>
  </si>
  <si>
    <t>Probability</t>
  </si>
  <si>
    <t>Target price</t>
  </si>
  <si>
    <t>Sensitivity &amp; Scenario Analysis</t>
  </si>
  <si>
    <t>WAAC/G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</si>
</sst>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2" borderId="0" xfId="0" applyFill="1"/>
    <xf numFmtId="4" fontId="0" fillId="0" borderId="0" xfId="0" applyNumberFormat="1"/>
    <xf numFmtId="0" fontId="1" fillId="2" borderId="0" xfId="0" applyFont="1" applyFill="1"/>
    <xf numFmtId="9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9" fontId="1" fillId="3" borderId="0" xfId="0" applyNumberFormat="1" applyFont="1" applyFill="1"/>
    <xf numFmtId="4" fontId="0" fillId="3" borderId="0" xfId="0" applyNumberFormat="1" applyFill="1"/>
    <xf numFmtId="10" fontId="0" fillId="3" borderId="0" xfId="0" applyNumberFormat="1" applyFill="1"/>
    <xf numFmtId="9" fontId="0" fillId="3" borderId="0" xfId="0" applyNumberFormat="1" applyFill="1"/>
    <xf numFmtId="10" fontId="1" fillId="3" borderId="0" xfId="0" applyNumberFormat="1" applyFont="1" applyFill="1"/>
    <xf numFmtId="0" fontId="0" fillId="4" borderId="0" xfId="0" applyFill="1"/>
    <xf numFmtId="4" fontId="1" fillId="0" borderId="0" xfId="0" applyNumberFormat="1" applyFont="1"/>
    <xf numFmtId="4" fontId="1" fillId="4" borderId="0" xfId="0" applyNumberFormat="1" applyFont="1" applyFill="1"/>
    <xf numFmtId="3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11</xdr:col>
      <xdr:colOff>9719</xdr:colOff>
      <xdr:row>30</xdr:row>
      <xdr:rowOff>9719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6106E9C-B42E-FF16-9311-85A1530F5D79}"/>
            </a:ext>
          </a:extLst>
        </xdr:cNvPr>
        <xdr:cNvCxnSpPr/>
      </xdr:nvCxnSpPr>
      <xdr:spPr>
        <a:xfrm>
          <a:off x="7571403" y="0"/>
          <a:ext cx="9719" cy="5841352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CA69-3647-4E1C-B8CB-F8563FF972AE}">
  <dimension ref="A1:O31"/>
  <sheetViews>
    <sheetView tabSelected="1" zoomScale="98" zoomScaleNormal="98" workbookViewId="0">
      <selection activeCell="R19" sqref="R19"/>
    </sheetView>
  </sheetViews>
  <sheetFormatPr defaultRowHeight="15" x14ac:dyDescent="0.25"/>
  <cols>
    <col min="3" max="3" width="11" customWidth="1"/>
    <col min="5" max="5" width="9.85546875" customWidth="1"/>
    <col min="6" max="6" width="10.28515625" customWidth="1"/>
    <col min="7" max="7" width="11.7109375" customWidth="1"/>
    <col min="8" max="8" width="11.42578125" customWidth="1"/>
    <col min="9" max="9" width="11.140625" customWidth="1"/>
    <col min="10" max="10" width="10.28515625" customWidth="1"/>
    <col min="11" max="11" width="10.28515625" bestFit="1" customWidth="1"/>
    <col min="12" max="12" width="11.28515625" bestFit="1" customWidth="1"/>
    <col min="13" max="15" width="11.28515625" customWidth="1"/>
    <col min="16" max="16" width="11.28515625" bestFit="1" customWidth="1"/>
    <col min="17" max="18" width="11.5703125" customWidth="1"/>
    <col min="19" max="19" width="10.28515625" bestFit="1" customWidth="1"/>
    <col min="21" max="21" width="9.85546875" customWidth="1"/>
    <col min="22" max="22" width="11" customWidth="1"/>
  </cols>
  <sheetData>
    <row r="1" spans="1:15" x14ac:dyDescent="0.25">
      <c r="O1" s="5"/>
    </row>
    <row r="3" spans="1:15" x14ac:dyDescent="0.25">
      <c r="A3" s="4"/>
      <c r="B3" s="4"/>
      <c r="C3" s="4"/>
      <c r="D3" s="4"/>
      <c r="E3" s="4"/>
      <c r="F3" s="4"/>
      <c r="G3" s="4"/>
      <c r="H3" s="6" t="s">
        <v>19</v>
      </c>
      <c r="I3" s="4"/>
      <c r="J3" s="4"/>
      <c r="K3" s="4"/>
      <c r="L3" s="4"/>
    </row>
    <row r="4" spans="1:15" x14ac:dyDescent="0.25">
      <c r="A4" s="3"/>
      <c r="L4" s="1"/>
    </row>
    <row r="5" spans="1:15" x14ac:dyDescent="0.25">
      <c r="A5" s="3" t="s">
        <v>5</v>
      </c>
      <c r="B5" s="7"/>
      <c r="F5" t="s">
        <v>4</v>
      </c>
    </row>
    <row r="6" spans="1:15" x14ac:dyDescent="0.25">
      <c r="B6" t="s">
        <v>20</v>
      </c>
      <c r="C6" s="12">
        <f>O11</f>
        <v>0</v>
      </c>
      <c r="D6" s="13">
        <v>1.4999999999999999E-2</v>
      </c>
      <c r="E6" s="14">
        <v>0.02</v>
      </c>
      <c r="F6" s="15">
        <v>2.5000000000000001E-2</v>
      </c>
      <c r="G6" s="14">
        <v>0.03</v>
      </c>
      <c r="H6" s="13">
        <v>3.5000000000000003E-2</v>
      </c>
    </row>
    <row r="7" spans="1:15" x14ac:dyDescent="0.25">
      <c r="C7" s="14">
        <v>0.06</v>
      </c>
      <c r="D7" s="9">
        <v>259.39664348274243</v>
      </c>
      <c r="E7" s="9">
        <v>290.02571521489489</v>
      </c>
      <c r="F7" s="9">
        <v>329.40595029909076</v>
      </c>
      <c r="G7" s="9">
        <v>381.91293041135214</v>
      </c>
      <c r="H7" s="10">
        <v>455.42270256851799</v>
      </c>
    </row>
    <row r="8" spans="1:15" x14ac:dyDescent="0.25">
      <c r="C8" s="14">
        <v>7.0000000000000007E-2</v>
      </c>
      <c r="D8" s="9">
        <v>208.80342736492329</v>
      </c>
      <c r="E8" s="9">
        <v>228.29468710672367</v>
      </c>
      <c r="F8" s="9">
        <v>252.1173379022573</v>
      </c>
      <c r="G8" s="9">
        <v>281.89565139667445</v>
      </c>
      <c r="H8" s="9">
        <v>320.18205446092503</v>
      </c>
    </row>
    <row r="9" spans="1:15" x14ac:dyDescent="0.25">
      <c r="B9" t="s">
        <v>4</v>
      </c>
      <c r="C9" s="11">
        <v>0.08</v>
      </c>
      <c r="D9" s="9">
        <v>173.81942505033049</v>
      </c>
      <c r="E9" s="9">
        <v>187.18501282502379</v>
      </c>
      <c r="F9" s="10">
        <v>202.98070746784308</v>
      </c>
      <c r="G9" s="9">
        <v>221.93554103922628</v>
      </c>
      <c r="H9" s="9">
        <v>245.10255984869465</v>
      </c>
    </row>
    <row r="10" spans="1:15" x14ac:dyDescent="0.25">
      <c r="C10" s="14">
        <v>0.09</v>
      </c>
      <c r="D10" s="9">
        <v>148.1994406013261</v>
      </c>
      <c r="E10" s="9">
        <v>157.85739473600339</v>
      </c>
      <c r="F10" s="9">
        <v>169.00118796832336</v>
      </c>
      <c r="G10" s="9">
        <v>182.00228007269664</v>
      </c>
      <c r="H10" s="9">
        <v>197.36720710513779</v>
      </c>
    </row>
    <row r="11" spans="1:15" x14ac:dyDescent="0.25">
      <c r="C11" s="14">
        <v>0.1</v>
      </c>
      <c r="D11" s="10">
        <v>128.63726161134775</v>
      </c>
      <c r="E11" s="9">
        <v>135.89225410887883</v>
      </c>
      <c r="F11" s="9">
        <v>144.114578939414</v>
      </c>
      <c r="G11" s="9">
        <v>153.51152160288288</v>
      </c>
      <c r="H11" s="9">
        <v>164.35414775303917</v>
      </c>
    </row>
    <row r="13" spans="1:15" x14ac:dyDescent="0.25">
      <c r="A13" s="3" t="s">
        <v>6</v>
      </c>
      <c r="F13" s="2"/>
      <c r="G13" s="2"/>
      <c r="H13" s="2"/>
    </row>
    <row r="14" spans="1:15" x14ac:dyDescent="0.25">
      <c r="E14" s="16"/>
      <c r="F14" s="16" t="s">
        <v>13</v>
      </c>
      <c r="G14" s="16" t="s">
        <v>15</v>
      </c>
      <c r="H14" s="16" t="s">
        <v>14</v>
      </c>
    </row>
    <row r="15" spans="1:15" x14ac:dyDescent="0.25">
      <c r="E15" s="16"/>
      <c r="F15" s="16"/>
      <c r="G15" s="16"/>
      <c r="H15" s="16"/>
    </row>
    <row r="16" spans="1:15" x14ac:dyDescent="0.25">
      <c r="E16" s="16" t="s">
        <v>7</v>
      </c>
      <c r="F16" s="8">
        <v>0.1</v>
      </c>
      <c r="G16" s="8">
        <v>0.2</v>
      </c>
      <c r="H16" s="8">
        <v>0.3</v>
      </c>
      <c r="I16" s="2"/>
    </row>
    <row r="17" spans="1:12" x14ac:dyDescent="0.25">
      <c r="E17" s="16" t="s">
        <v>1</v>
      </c>
      <c r="F17" s="8">
        <v>0.25</v>
      </c>
      <c r="G17" s="8">
        <v>0.3</v>
      </c>
      <c r="H17" s="8">
        <v>0.35</v>
      </c>
    </row>
    <row r="18" spans="1:12" x14ac:dyDescent="0.25">
      <c r="E18" s="16" t="s">
        <v>3</v>
      </c>
      <c r="F18" s="8">
        <v>0.09</v>
      </c>
      <c r="G18" s="8">
        <v>0.08</v>
      </c>
      <c r="H18" s="8">
        <v>7.4999999999999997E-2</v>
      </c>
      <c r="I18" s="2"/>
    </row>
    <row r="19" spans="1:12" x14ac:dyDescent="0.25">
      <c r="D19" s="8"/>
      <c r="E19" s="16" t="s">
        <v>2</v>
      </c>
      <c r="F19" s="8">
        <v>0.02</v>
      </c>
      <c r="G19" s="8">
        <v>2.5000000000000001E-2</v>
      </c>
      <c r="H19" s="8">
        <v>0.03</v>
      </c>
      <c r="I19" s="2"/>
    </row>
    <row r="20" spans="1:12" x14ac:dyDescent="0.25">
      <c r="D20" s="8"/>
      <c r="E20" s="16" t="s">
        <v>0</v>
      </c>
      <c r="F20" s="17">
        <v>86.19</v>
      </c>
      <c r="G20" s="17">
        <v>202.98</v>
      </c>
      <c r="H20" s="17">
        <v>378.21</v>
      </c>
      <c r="I20" s="2"/>
    </row>
    <row r="21" spans="1:12" x14ac:dyDescent="0.25">
      <c r="D21" s="8"/>
      <c r="E21" s="17"/>
      <c r="F21" s="17"/>
      <c r="G21" s="17"/>
      <c r="H21" s="17"/>
      <c r="I21" s="2"/>
    </row>
    <row r="22" spans="1:12" x14ac:dyDescent="0.25">
      <c r="D22" s="8"/>
      <c r="E22" s="18" t="s">
        <v>17</v>
      </c>
      <c r="F22" s="18">
        <v>0.3</v>
      </c>
      <c r="G22" s="18">
        <v>0.4</v>
      </c>
      <c r="H22" s="18">
        <v>0.3</v>
      </c>
      <c r="I22" s="2"/>
    </row>
    <row r="23" spans="1:12" x14ac:dyDescent="0.25">
      <c r="D23" s="8"/>
      <c r="E23" s="18" t="s">
        <v>16</v>
      </c>
      <c r="F23" s="18">
        <f>F20*F22</f>
        <v>25.856999999999999</v>
      </c>
      <c r="G23" s="18">
        <f t="shared" ref="G23:H23" si="0">G20*G22</f>
        <v>81.192000000000007</v>
      </c>
      <c r="H23" s="18">
        <f t="shared" si="0"/>
        <v>113.46299999999999</v>
      </c>
      <c r="I23" s="1"/>
    </row>
    <row r="24" spans="1:12" x14ac:dyDescent="0.25">
      <c r="E24" s="18" t="s">
        <v>18</v>
      </c>
      <c r="F24" s="19">
        <f>SUM(F23:H23)</f>
        <v>220.512</v>
      </c>
      <c r="G24" s="16"/>
      <c r="H24" s="16"/>
    </row>
    <row r="25" spans="1:12" x14ac:dyDescent="0.25">
      <c r="B25" s="3" t="s">
        <v>12</v>
      </c>
    </row>
    <row r="26" spans="1:12" x14ac:dyDescent="0.25">
      <c r="B26" t="s">
        <v>11</v>
      </c>
    </row>
    <row r="27" spans="1:12" x14ac:dyDescent="0.25">
      <c r="B27" t="s">
        <v>9</v>
      </c>
    </row>
    <row r="28" spans="1:12" x14ac:dyDescent="0.25">
      <c r="B28" t="s">
        <v>8</v>
      </c>
      <c r="C28" t="s">
        <v>10</v>
      </c>
    </row>
    <row r="30" spans="1:12" x14ac:dyDescent="0.25">
      <c r="H30" s="1"/>
      <c r="I30" s="1"/>
      <c r="J30" s="1"/>
      <c r="K30" s="1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2025-12-31T20:22:19Z</dcterms:created>
  <dcterms:modified xsi:type="dcterms:W3CDTF">2026-01-12T21:14:41Z</dcterms:modified>
</cp:coreProperties>
</file>