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47D7726-53F1-4D00-A79E-C42A65983C66}" xr6:coauthVersionLast="47" xr6:coauthVersionMax="47" xr10:uidLastSave="{00000000-0000-0000-0000-000000000000}"/>
  <bookViews>
    <workbookView xWindow="-120" yWindow="-120" windowWidth="29040" windowHeight="15720" xr2:uid="{8F5191C8-47CB-4EE2-A5A1-3D33F0C78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I8" i="1" s="1"/>
  <c r="F5" i="1"/>
  <c r="H5" i="1"/>
  <c r="F6" i="1"/>
  <c r="I6" i="1" s="1"/>
  <c r="M6" i="1" s="1"/>
  <c r="H6" i="1"/>
  <c r="F7" i="1"/>
  <c r="I7" i="1" s="1"/>
  <c r="F9" i="1"/>
  <c r="I9" i="1" s="1"/>
  <c r="F10" i="1"/>
  <c r="I10" i="1" s="1"/>
  <c r="M8" i="1" l="1"/>
  <c r="L8" i="1"/>
  <c r="I5" i="1"/>
  <c r="L5" i="1" s="1"/>
  <c r="L7" i="1"/>
  <c r="M7" i="1"/>
  <c r="M10" i="1"/>
  <c r="L10" i="1"/>
  <c r="M9" i="1"/>
  <c r="L9" i="1"/>
  <c r="L6" i="1"/>
  <c r="M5" i="1" l="1"/>
</calcChain>
</file>

<file path=xl/sharedStrings.xml><?xml version="1.0" encoding="utf-8"?>
<sst xmlns="http://schemas.openxmlformats.org/spreadsheetml/2006/main" count="32" uniqueCount="27">
  <si>
    <t>Price</t>
  </si>
  <si>
    <t>MC</t>
  </si>
  <si>
    <t>Cash</t>
  </si>
  <si>
    <t>Debt</t>
  </si>
  <si>
    <t>EV</t>
  </si>
  <si>
    <t>Revenue</t>
  </si>
  <si>
    <t>FY2025</t>
  </si>
  <si>
    <t>Shares Outstanding</t>
  </si>
  <si>
    <t>EBITDA</t>
  </si>
  <si>
    <t xml:space="preserve"> Comparable Company Analysis (Comps Analysis)</t>
  </si>
  <si>
    <t>NVDA</t>
  </si>
  <si>
    <t>MRVL</t>
  </si>
  <si>
    <t>AMD</t>
  </si>
  <si>
    <t>ORCL</t>
  </si>
  <si>
    <t>CSCO</t>
  </si>
  <si>
    <t>AVGO</t>
  </si>
  <si>
    <t>As of January 3, 2025</t>
  </si>
  <si>
    <t>Custom silicon / data center</t>
  </si>
  <si>
    <t>AI / semiconductors</t>
  </si>
  <si>
    <t>Enterprise infra + cloud</t>
  </si>
  <si>
    <t>CPU / GPU / AI exposure</t>
  </si>
  <si>
    <t>Networking / enterprise hardware</t>
  </si>
  <si>
    <t>Comps Analysis Table</t>
  </si>
  <si>
    <t>Data Relevance</t>
  </si>
  <si>
    <t>EV/Revenue</t>
  </si>
  <si>
    <t>EV/EBITDA</t>
  </si>
  <si>
    <t>CALLED MULTIPLES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</si>
</sst>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4" fontId="0" fillId="0" borderId="0" xfId="0" applyNumberForma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CA69-3647-4E1C-B8CB-F8563FF972AE}">
  <dimension ref="A2:O19"/>
  <sheetViews>
    <sheetView tabSelected="1" zoomScale="98" zoomScaleNormal="98" workbookViewId="0">
      <selection activeCell="A19" sqref="A2:O19"/>
    </sheetView>
  </sheetViews>
  <sheetFormatPr defaultRowHeight="15" x14ac:dyDescent="0.25"/>
  <cols>
    <col min="3" max="3" width="11" customWidth="1"/>
    <col min="5" max="5" width="9.85546875" customWidth="1"/>
    <col min="6" max="6" width="10.28515625" customWidth="1"/>
    <col min="7" max="7" width="11.7109375" customWidth="1"/>
    <col min="8" max="8" width="11.42578125" customWidth="1"/>
    <col min="9" max="9" width="11.140625" customWidth="1"/>
    <col min="10" max="10" width="10.28515625" customWidth="1"/>
    <col min="11" max="11" width="10.28515625" bestFit="1" customWidth="1"/>
    <col min="12" max="12" width="11.28515625" bestFit="1" customWidth="1"/>
    <col min="13" max="15" width="11.28515625" customWidth="1"/>
    <col min="16" max="16" width="11.28515625" bestFit="1" customWidth="1"/>
    <col min="17" max="18" width="11.5703125" customWidth="1"/>
    <col min="19" max="19" width="10.28515625" bestFit="1" customWidth="1"/>
    <col min="21" max="21" width="9.85546875" customWidth="1"/>
    <col min="22" max="22" width="11" customWidth="1"/>
  </cols>
  <sheetData>
    <row r="2" spans="1:15" x14ac:dyDescent="0.25">
      <c r="A2" s="3"/>
      <c r="B2" s="3"/>
      <c r="C2" s="3"/>
      <c r="D2" s="3"/>
      <c r="E2" s="3"/>
      <c r="F2" s="3"/>
      <c r="G2" s="3"/>
      <c r="H2" s="5" t="s">
        <v>9</v>
      </c>
      <c r="I2" s="3"/>
      <c r="J2" s="3"/>
      <c r="K2" s="3"/>
      <c r="L2" s="3"/>
      <c r="M2" s="3"/>
      <c r="N2" s="3"/>
      <c r="O2" s="3"/>
    </row>
    <row r="3" spans="1:15" x14ac:dyDescent="0.25">
      <c r="A3" t="s">
        <v>16</v>
      </c>
      <c r="C3" t="s">
        <v>6</v>
      </c>
    </row>
    <row r="4" spans="1:15" x14ac:dyDescent="0.25">
      <c r="D4" t="s">
        <v>0</v>
      </c>
      <c r="E4" t="s">
        <v>7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8</v>
      </c>
      <c r="L4" t="s">
        <v>24</v>
      </c>
      <c r="M4" t="s">
        <v>25</v>
      </c>
    </row>
    <row r="5" spans="1:15" x14ac:dyDescent="0.25">
      <c r="A5" s="2" t="s">
        <v>22</v>
      </c>
      <c r="C5" t="s">
        <v>15</v>
      </c>
      <c r="D5" s="4">
        <v>346</v>
      </c>
      <c r="E5" s="6">
        <v>4741.2</v>
      </c>
      <c r="F5" s="1">
        <f>E5*D5</f>
        <v>1640455.2</v>
      </c>
      <c r="G5" s="1">
        <v>16178</v>
      </c>
      <c r="H5" s="1">
        <f>3152+61984</f>
        <v>65136</v>
      </c>
      <c r="I5" s="1">
        <f>F5+H5-G5</f>
        <v>1689413.2</v>
      </c>
      <c r="J5" s="1">
        <v>63887</v>
      </c>
      <c r="K5" s="1">
        <v>38203</v>
      </c>
      <c r="L5" s="6">
        <f>I5/J5</f>
        <v>26.443771033230547</v>
      </c>
      <c r="M5" s="6">
        <f>I5/K5</f>
        <v>44.222003507577938</v>
      </c>
      <c r="N5" t="s">
        <v>26</v>
      </c>
    </row>
    <row r="6" spans="1:15" x14ac:dyDescent="0.25">
      <c r="C6" t="s">
        <v>10</v>
      </c>
      <c r="D6" s="4">
        <v>188.85</v>
      </c>
      <c r="E6" s="6">
        <v>24300</v>
      </c>
      <c r="F6" s="1">
        <f>E6*D6</f>
        <v>4589055</v>
      </c>
      <c r="G6" s="1">
        <v>11486</v>
      </c>
      <c r="H6" s="1">
        <f>999+7468</f>
        <v>8467</v>
      </c>
      <c r="I6" s="1">
        <f>F6+H6-G6</f>
        <v>4586036</v>
      </c>
      <c r="J6" s="1">
        <v>187140</v>
      </c>
      <c r="K6" s="1">
        <v>112700</v>
      </c>
      <c r="L6" s="6">
        <f t="shared" ref="L6:L10" si="0">I6/J6</f>
        <v>24.505910013893342</v>
      </c>
      <c r="M6" s="6">
        <f t="shared" ref="M6:M10" si="1">I6/K6</f>
        <v>40.69242236024845</v>
      </c>
    </row>
    <row r="7" spans="1:15" x14ac:dyDescent="0.25">
      <c r="C7" t="s">
        <v>11</v>
      </c>
      <c r="D7" s="4">
        <v>89.39</v>
      </c>
      <c r="E7" s="6">
        <v>848.1</v>
      </c>
      <c r="F7" s="1">
        <f>E7*D7</f>
        <v>75811.659</v>
      </c>
      <c r="G7" s="1">
        <v>271</v>
      </c>
      <c r="H7" s="1">
        <v>478</v>
      </c>
      <c r="I7" s="1">
        <f>F7+H7-G7</f>
        <v>76018.659</v>
      </c>
      <c r="J7" s="1">
        <v>7790</v>
      </c>
      <c r="K7" s="1">
        <v>2450</v>
      </c>
      <c r="L7" s="6">
        <f t="shared" si="0"/>
        <v>9.7584928112965343</v>
      </c>
      <c r="M7" s="6">
        <f t="shared" si="1"/>
        <v>31.028024081632655</v>
      </c>
    </row>
    <row r="8" spans="1:15" x14ac:dyDescent="0.25">
      <c r="C8" t="s">
        <v>12</v>
      </c>
      <c r="D8" s="4">
        <v>223.47</v>
      </c>
      <c r="E8" s="6">
        <v>1630</v>
      </c>
      <c r="F8" s="1">
        <f t="shared" ref="F8:F10" si="2">E8*D8</f>
        <v>364256.1</v>
      </c>
      <c r="G8" s="1">
        <v>724</v>
      </c>
      <c r="H8" s="1">
        <v>387</v>
      </c>
      <c r="I8" s="1">
        <f t="shared" ref="I8:I10" si="3">F8+H8-G8</f>
        <v>363919.1</v>
      </c>
      <c r="J8" s="1">
        <v>32030</v>
      </c>
      <c r="K8" s="1">
        <v>6050</v>
      </c>
      <c r="L8" s="6">
        <f t="shared" si="0"/>
        <v>11.361820168591944</v>
      </c>
      <c r="M8" s="6">
        <f t="shared" si="1"/>
        <v>60.1519173553719</v>
      </c>
    </row>
    <row r="9" spans="1:15" x14ac:dyDescent="0.25">
      <c r="C9" t="s">
        <v>13</v>
      </c>
      <c r="D9" s="4">
        <v>195.71</v>
      </c>
      <c r="E9" s="6">
        <v>287</v>
      </c>
      <c r="F9" s="1">
        <f t="shared" si="2"/>
        <v>56168.770000000004</v>
      </c>
      <c r="G9" s="1">
        <v>1977</v>
      </c>
      <c r="H9" s="1">
        <v>1317</v>
      </c>
      <c r="I9" s="1">
        <f t="shared" si="3"/>
        <v>55508.770000000004</v>
      </c>
      <c r="J9" s="1">
        <v>61020</v>
      </c>
      <c r="K9" s="1">
        <v>2627</v>
      </c>
      <c r="L9" s="6">
        <f t="shared" si="0"/>
        <v>0.9096815798098985</v>
      </c>
      <c r="M9" s="6">
        <f t="shared" si="1"/>
        <v>21.130098972211648</v>
      </c>
    </row>
    <row r="10" spans="1:15" x14ac:dyDescent="0.25">
      <c r="C10" t="s">
        <v>14</v>
      </c>
      <c r="D10" s="4">
        <v>76</v>
      </c>
      <c r="E10" s="6">
        <v>395</v>
      </c>
      <c r="F10" s="1">
        <f t="shared" si="2"/>
        <v>30020</v>
      </c>
      <c r="G10" s="1">
        <v>1574</v>
      </c>
      <c r="H10" s="1">
        <v>2964</v>
      </c>
      <c r="I10" s="1">
        <f t="shared" si="3"/>
        <v>31410</v>
      </c>
      <c r="J10" s="1">
        <v>57700</v>
      </c>
      <c r="K10" s="1">
        <v>1568</v>
      </c>
      <c r="L10" s="6">
        <f t="shared" si="0"/>
        <v>0.54436741767764296</v>
      </c>
      <c r="M10" s="6">
        <f t="shared" si="1"/>
        <v>20.031887755102041</v>
      </c>
    </row>
    <row r="13" spans="1:15" x14ac:dyDescent="0.25">
      <c r="A13" s="2" t="s">
        <v>23</v>
      </c>
      <c r="C13" t="s">
        <v>10</v>
      </c>
      <c r="D13" t="s">
        <v>18</v>
      </c>
    </row>
    <row r="14" spans="1:15" x14ac:dyDescent="0.25">
      <c r="C14" t="s">
        <v>11</v>
      </c>
      <c r="D14" t="s">
        <v>17</v>
      </c>
      <c r="I14" s="1"/>
      <c r="J14" s="1"/>
      <c r="K14" s="1"/>
      <c r="L14" s="1"/>
    </row>
    <row r="15" spans="1:15" x14ac:dyDescent="0.25">
      <c r="C15" t="s">
        <v>12</v>
      </c>
      <c r="D15" t="s">
        <v>20</v>
      </c>
      <c r="I15" s="1"/>
      <c r="J15" s="1"/>
      <c r="K15" s="1"/>
      <c r="L15" s="1"/>
    </row>
    <row r="16" spans="1:15" x14ac:dyDescent="0.25">
      <c r="C16" t="s">
        <v>13</v>
      </c>
      <c r="D16" t="s">
        <v>19</v>
      </c>
      <c r="I16" s="1"/>
      <c r="J16" s="1"/>
      <c r="K16" s="1"/>
      <c r="L16" s="1"/>
    </row>
    <row r="17" spans="1:15" x14ac:dyDescent="0.25">
      <c r="C17" t="s">
        <v>14</v>
      </c>
      <c r="D17" t="s">
        <v>21</v>
      </c>
      <c r="I17" s="1"/>
      <c r="J17" s="1"/>
      <c r="K17" s="1"/>
      <c r="L17" s="1"/>
    </row>
    <row r="18" spans="1:15" x14ac:dyDescent="0.25">
      <c r="H18" s="1"/>
      <c r="I18" s="1"/>
      <c r="J18" s="1"/>
      <c r="K18" s="1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2025-12-31T20:22:19Z</dcterms:created>
  <dcterms:modified xsi:type="dcterms:W3CDTF">2026-01-12T21:18:29Z</dcterms:modified>
</cp:coreProperties>
</file>