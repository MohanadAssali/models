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7FA5751-67C6-4A4B-8769-A94B25E8B466}" xr6:coauthVersionLast="47" xr6:coauthVersionMax="47" xr10:uidLastSave="{00000000-0000-0000-0000-000000000000}"/>
  <bookViews>
    <workbookView xWindow="-28920" yWindow="660" windowWidth="29040" windowHeight="15720" firstSheet="1" activeTab="1" xr2:uid="{00000000-000D-0000-FFFF-FFFF00000000}"/>
  </bookViews>
  <sheets>
    <sheet name="BoostToolkitClipBoard2010" sheetId="11" state="veryHidden" r:id="rId1"/>
    <sheet name="Outputs" sheetId="15" r:id="rId2"/>
    <sheet name="Inputs" sheetId="14" r:id="rId3"/>
  </sheets>
  <externalReferences>
    <externalReference r:id="rId4"/>
    <externalReference r:id="rId5"/>
  </externalReferences>
  <definedNames>
    <definedName name="Inv_Cap">[1]Results!$E$182:$AD$182</definedName>
    <definedName name="NOPLAT">[1]Results!$E$145:$AD$145</definedName>
    <definedName name="One">'[1]Forecast Drivers'!$D$330</definedName>
    <definedName name="Products">[2]Array0!$B$5:$C$7</definedName>
    <definedName name="Rev">'[1]Forecast Drivers'!$E$25:$S$25</definedName>
  </definedNames>
  <calcPr calcId="191029"/>
</workbook>
</file>

<file path=xl/calcChain.xml><?xml version="1.0" encoding="utf-8"?>
<calcChain xmlns="http://schemas.openxmlformats.org/spreadsheetml/2006/main">
  <c r="E81" i="14" l="1"/>
  <c r="F81" i="14"/>
  <c r="G81" i="14"/>
  <c r="H81" i="14"/>
  <c r="E158" i="14" l="1"/>
  <c r="H133" i="14" l="1"/>
  <c r="H134" i="14"/>
  <c r="H125" i="14"/>
  <c r="J32" i="14"/>
  <c r="H63" i="14"/>
  <c r="H66" i="14" s="1"/>
  <c r="H70" i="14" s="1"/>
  <c r="H72" i="14" s="1"/>
  <c r="G63" i="14"/>
  <c r="G66" i="14" s="1"/>
  <c r="F63" i="14"/>
  <c r="F66" i="14" s="1"/>
  <c r="E63" i="14"/>
  <c r="E66" i="14" s="1"/>
  <c r="E70" i="14" s="1"/>
  <c r="E72" i="14" s="1"/>
  <c r="I42" i="14"/>
  <c r="H45" i="14"/>
  <c r="H48" i="14" s="1"/>
  <c r="G45" i="14"/>
  <c r="G48" i="14" s="1"/>
  <c r="G52" i="14" s="1"/>
  <c r="G54" i="14" s="1"/>
  <c r="F45" i="14"/>
  <c r="F48" i="14" s="1"/>
  <c r="F52" i="14" s="1"/>
  <c r="F54" i="14" s="1"/>
  <c r="E45" i="14"/>
  <c r="E48" i="14" s="1"/>
  <c r="E52" i="14" s="1"/>
  <c r="E54" i="14" s="1"/>
  <c r="H27" i="14"/>
  <c r="H30" i="14" s="1"/>
  <c r="H34" i="14" s="1"/>
  <c r="G27" i="14"/>
  <c r="G30" i="14" s="1"/>
  <c r="G34" i="14" s="1"/>
  <c r="F27" i="14"/>
  <c r="F30" i="14" s="1"/>
  <c r="F34" i="14" s="1"/>
  <c r="E27" i="14"/>
  <c r="E30" i="14" s="1"/>
  <c r="E34" i="14" s="1"/>
  <c r="E36" i="14" s="1"/>
  <c r="E42" i="14"/>
  <c r="F42" i="14"/>
  <c r="G42" i="14"/>
  <c r="H42" i="14"/>
  <c r="E60" i="14"/>
  <c r="F60" i="14"/>
  <c r="G60" i="14"/>
  <c r="H60" i="14"/>
  <c r="I60" i="14"/>
  <c r="E89" i="14"/>
  <c r="E86" i="14"/>
  <c r="F86" i="14"/>
  <c r="G86" i="14"/>
  <c r="H86" i="14"/>
  <c r="I86" i="14"/>
  <c r="F89" i="14"/>
  <c r="G89" i="14"/>
  <c r="H89" i="14"/>
  <c r="E92" i="14"/>
  <c r="F92" i="14"/>
  <c r="G92" i="14"/>
  <c r="H92" i="14"/>
  <c r="E105" i="14"/>
  <c r="F105" i="14"/>
  <c r="G105" i="14"/>
  <c r="H105" i="14"/>
  <c r="I105" i="14"/>
  <c r="E114" i="14"/>
  <c r="F114" i="14"/>
  <c r="G114" i="14"/>
  <c r="H114" i="14"/>
  <c r="I114" i="14"/>
  <c r="H24" i="14"/>
  <c r="F70" i="14" l="1"/>
  <c r="F72" i="14" s="1"/>
  <c r="F76" i="14"/>
  <c r="G70" i="14"/>
  <c r="G72" i="14" s="1"/>
  <c r="G76" i="14"/>
  <c r="E76" i="14"/>
  <c r="H76" i="14"/>
  <c r="E58" i="14"/>
  <c r="H52" i="14"/>
  <c r="H54" i="14" s="1"/>
  <c r="H58" i="14"/>
  <c r="G58" i="14"/>
  <c r="B11" i="15"/>
  <c r="I24" i="14"/>
  <c r="I78" i="14"/>
  <c r="I96" i="14"/>
  <c r="I131" i="14"/>
  <c r="I140" i="14"/>
  <c r="B22" i="15"/>
  <c r="B21" i="15"/>
  <c r="B20" i="15"/>
  <c r="B19" i="15"/>
  <c r="T14" i="15"/>
  <c r="S14" i="15"/>
  <c r="R14" i="15"/>
  <c r="P14" i="15"/>
  <c r="N14" i="15"/>
  <c r="M14" i="15"/>
  <c r="K14" i="15"/>
  <c r="I14" i="15"/>
  <c r="F14" i="15"/>
  <c r="B14" i="15"/>
  <c r="T13" i="15"/>
  <c r="S13" i="15"/>
  <c r="R13" i="15"/>
  <c r="P13" i="15"/>
  <c r="N13" i="15"/>
  <c r="M13" i="15"/>
  <c r="K13" i="15"/>
  <c r="I13" i="15"/>
  <c r="F13" i="15"/>
  <c r="B13" i="15"/>
  <c r="T12" i="15"/>
  <c r="S12" i="15"/>
  <c r="R12" i="15"/>
  <c r="P12" i="15"/>
  <c r="N12" i="15"/>
  <c r="M12" i="15"/>
  <c r="K12" i="15"/>
  <c r="I12" i="15"/>
  <c r="F12" i="15"/>
  <c r="B12" i="15"/>
  <c r="T11" i="15"/>
  <c r="S11" i="15"/>
  <c r="R11" i="15"/>
  <c r="P11" i="15"/>
  <c r="N11" i="15"/>
  <c r="M11" i="15"/>
  <c r="K11" i="15"/>
  <c r="I11" i="15"/>
  <c r="F11" i="15"/>
  <c r="H140" i="14"/>
  <c r="G140" i="14"/>
  <c r="F140" i="14"/>
  <c r="E140" i="14"/>
  <c r="H131" i="14"/>
  <c r="G131" i="14"/>
  <c r="F131" i="14"/>
  <c r="E131" i="14"/>
  <c r="H96" i="14"/>
  <c r="G96" i="14"/>
  <c r="F96" i="14"/>
  <c r="E96" i="14"/>
  <c r="H78" i="14"/>
  <c r="G78" i="14"/>
  <c r="F78" i="14"/>
  <c r="E78" i="14"/>
  <c r="G24" i="14"/>
  <c r="F24" i="14"/>
  <c r="E24" i="14"/>
  <c r="H151" i="14"/>
  <c r="H158" i="14" s="1"/>
  <c r="F133" i="14"/>
  <c r="F156" i="14" s="1"/>
  <c r="G133" i="14"/>
  <c r="G156" i="14" s="1"/>
  <c r="E133" i="14"/>
  <c r="E156" i="14" s="1"/>
  <c r="Q14" i="15"/>
  <c r="Q13" i="15"/>
  <c r="Q12" i="15"/>
  <c r="Q11" i="15"/>
  <c r="L14" i="15"/>
  <c r="L13" i="15"/>
  <c r="L12" i="15"/>
  <c r="L11" i="15"/>
  <c r="F84" i="14"/>
  <c r="F146" i="14" s="1"/>
  <c r="G84" i="14"/>
  <c r="G146" i="14" s="1"/>
  <c r="H84" i="14"/>
  <c r="H146" i="14" s="1"/>
  <c r="E84" i="14"/>
  <c r="E146" i="14" s="1"/>
  <c r="G125" i="14"/>
  <c r="H127" i="14"/>
  <c r="E125" i="14"/>
  <c r="F19" i="14"/>
  <c r="F134" i="14" s="1"/>
  <c r="G19" i="14"/>
  <c r="G134" i="14" s="1"/>
  <c r="H19" i="14"/>
  <c r="E19" i="14"/>
  <c r="E134" i="14" l="1"/>
  <c r="E135" i="14"/>
  <c r="F58" i="14"/>
  <c r="F107" i="14"/>
  <c r="E107" i="14"/>
  <c r="N21" i="15"/>
  <c r="C13" i="15"/>
  <c r="C11" i="15"/>
  <c r="I19" i="15"/>
  <c r="S21" i="15"/>
  <c r="C12" i="15"/>
  <c r="C14" i="15"/>
  <c r="N19" i="15"/>
  <c r="S19" i="15"/>
  <c r="I21" i="15"/>
  <c r="I20" i="15"/>
  <c r="N20" i="15"/>
  <c r="S20" i="15"/>
  <c r="I22" i="15"/>
  <c r="N22" i="15"/>
  <c r="S22" i="15"/>
  <c r="T22" i="15"/>
  <c r="H156" i="14"/>
  <c r="E151" i="14"/>
  <c r="T19" i="15" s="1"/>
  <c r="F151" i="14"/>
  <c r="T20" i="15" s="1"/>
  <c r="G151" i="14"/>
  <c r="T21" i="15" s="1"/>
  <c r="H137" i="14"/>
  <c r="F125" i="14"/>
  <c r="E127" i="14"/>
  <c r="E137" i="14" s="1"/>
  <c r="G137" i="14"/>
  <c r="G91" i="14"/>
  <c r="E91" i="14"/>
  <c r="F91" i="14"/>
  <c r="F127" i="14" l="1"/>
  <c r="F137" i="14" s="1"/>
  <c r="H40" i="14"/>
  <c r="H90" i="14" s="1"/>
  <c r="H91" i="14"/>
  <c r="G107" i="14"/>
  <c r="S28" i="15"/>
  <c r="S27" i="15"/>
  <c r="S25" i="15"/>
  <c r="S26" i="15"/>
  <c r="S24" i="15"/>
  <c r="N26" i="15"/>
  <c r="N24" i="15"/>
  <c r="N27" i="15"/>
  <c r="N25" i="15"/>
  <c r="I28" i="15"/>
  <c r="I27" i="15"/>
  <c r="I25" i="15"/>
  <c r="I26" i="15"/>
  <c r="I24" i="15"/>
  <c r="T28" i="15"/>
  <c r="T27" i="15"/>
  <c r="T25" i="15"/>
  <c r="T26" i="15"/>
  <c r="T24" i="15"/>
  <c r="H13" i="15"/>
  <c r="N28" i="15"/>
  <c r="H14" i="15"/>
  <c r="H11" i="15"/>
  <c r="H12" i="15"/>
  <c r="G40" i="14"/>
  <c r="G90" i="14" s="1"/>
  <c r="G158" i="14"/>
  <c r="F158" i="14"/>
  <c r="F40" i="14"/>
  <c r="F90" i="14" s="1"/>
  <c r="F36" i="14"/>
  <c r="H83" i="14"/>
  <c r="E40" i="14"/>
  <c r="E90" i="14" s="1"/>
  <c r="F83" i="14"/>
  <c r="G83" i="14"/>
  <c r="E83" i="14"/>
  <c r="D11" i="15"/>
  <c r="G135" i="14"/>
  <c r="D13" i="15" s="1"/>
  <c r="H135" i="14"/>
  <c r="D14" i="15" s="1"/>
  <c r="F135" i="14"/>
  <c r="D12" i="15" l="1"/>
  <c r="G14" i="15"/>
  <c r="I107" i="14"/>
  <c r="H107" i="14"/>
  <c r="G138" i="14"/>
  <c r="G149" i="14" s="1"/>
  <c r="G13" i="15"/>
  <c r="E138" i="14"/>
  <c r="F138" i="14"/>
  <c r="F150" i="14" s="1"/>
  <c r="H138" i="14"/>
  <c r="G11" i="15"/>
  <c r="G12" i="15"/>
  <c r="G82" i="14"/>
  <c r="H36" i="14"/>
  <c r="G36" i="14"/>
  <c r="F82" i="14"/>
  <c r="E82" i="14"/>
  <c r="H82" i="14"/>
  <c r="E153" i="14" l="1"/>
  <c r="F19" i="15"/>
  <c r="K19" i="15"/>
  <c r="E143" i="14"/>
  <c r="H150" i="14"/>
  <c r="H143" i="14"/>
  <c r="G153" i="14"/>
  <c r="G144" i="14"/>
  <c r="H154" i="14"/>
  <c r="F145" i="14"/>
  <c r="F153" i="14"/>
  <c r="G154" i="14"/>
  <c r="E145" i="14"/>
  <c r="G148" i="14"/>
  <c r="G145" i="14"/>
  <c r="G155" i="14"/>
  <c r="H148" i="14"/>
  <c r="H145" i="14"/>
  <c r="H149" i="14"/>
  <c r="H153" i="14"/>
  <c r="E154" i="14"/>
  <c r="E155" i="14"/>
  <c r="E149" i="14"/>
  <c r="E148" i="14"/>
  <c r="E144" i="14"/>
  <c r="F144" i="14"/>
  <c r="F148" i="14"/>
  <c r="F154" i="14"/>
  <c r="F149" i="14"/>
  <c r="F155" i="14"/>
  <c r="P22" i="15"/>
  <c r="K22" i="15"/>
  <c r="F22" i="15"/>
  <c r="R22" i="15"/>
  <c r="M22" i="15"/>
  <c r="H22" i="15"/>
  <c r="Q22" i="15"/>
  <c r="L22" i="15"/>
  <c r="G22" i="15"/>
  <c r="R19" i="15"/>
  <c r="M19" i="15"/>
  <c r="H19" i="15"/>
  <c r="Q19" i="15"/>
  <c r="L19" i="15"/>
  <c r="G19" i="15"/>
  <c r="P19" i="15"/>
  <c r="R21" i="15"/>
  <c r="M21" i="15"/>
  <c r="H21" i="15"/>
  <c r="Q21" i="15"/>
  <c r="L21" i="15"/>
  <c r="G21" i="15"/>
  <c r="P21" i="15"/>
  <c r="K21" i="15"/>
  <c r="F21" i="15"/>
  <c r="H144" i="14"/>
  <c r="H155" i="14"/>
  <c r="E150" i="14"/>
  <c r="F143" i="14"/>
  <c r="G143" i="14"/>
  <c r="G150" i="14"/>
  <c r="P20" i="15"/>
  <c r="K20" i="15"/>
  <c r="F20" i="15"/>
  <c r="R20" i="15"/>
  <c r="M20" i="15"/>
  <c r="H20" i="15"/>
  <c r="Q20" i="15"/>
  <c r="L20" i="15"/>
  <c r="G20" i="15"/>
  <c r="G28" i="15" l="1"/>
  <c r="G24" i="15"/>
  <c r="G27" i="15"/>
  <c r="G25" i="15"/>
  <c r="G26" i="15"/>
  <c r="L28" i="15"/>
  <c r="L25" i="15"/>
  <c r="L26" i="15"/>
  <c r="L24" i="15"/>
  <c r="L27" i="15"/>
  <c r="P28" i="15"/>
  <c r="P24" i="15"/>
  <c r="P27" i="15"/>
  <c r="P25" i="15"/>
  <c r="P26" i="15"/>
  <c r="Q28" i="15"/>
  <c r="Q24" i="15"/>
  <c r="Q27" i="15"/>
  <c r="Q26" i="15"/>
  <c r="Q25" i="15"/>
  <c r="H28" i="15"/>
  <c r="H24" i="15"/>
  <c r="H27" i="15"/>
  <c r="H25" i="15"/>
  <c r="H26" i="15"/>
  <c r="M28" i="15"/>
  <c r="M26" i="15"/>
  <c r="M24" i="15"/>
  <c r="M27" i="15"/>
  <c r="M25" i="15"/>
  <c r="F28" i="15"/>
  <c r="F26" i="15"/>
  <c r="F24" i="15"/>
  <c r="F25" i="15"/>
  <c r="F27" i="15"/>
  <c r="R28" i="15"/>
  <c r="R24" i="15"/>
  <c r="R25" i="15"/>
  <c r="R27" i="15"/>
  <c r="R26" i="15"/>
  <c r="K28" i="15"/>
  <c r="K25" i="15"/>
  <c r="K26" i="15"/>
  <c r="K24" i="15"/>
  <c r="K27" i="15"/>
</calcChain>
</file>

<file path=xl/sharedStrings.xml><?xml version="1.0" encoding="utf-8"?>
<sst xmlns="http://schemas.openxmlformats.org/spreadsheetml/2006/main" count="202" uniqueCount="127">
  <si>
    <t>EXTR</t>
  </si>
  <si>
    <t>Ticker</t>
  </si>
  <si>
    <t>Date of latest filing</t>
  </si>
  <si>
    <t>Stock price on current date</t>
  </si>
  <si>
    <t xml:space="preserve">Basic shares outstanding </t>
  </si>
  <si>
    <t>Net shares from exercisable options</t>
  </si>
  <si>
    <t>Total shares from convertible debt</t>
  </si>
  <si>
    <t>Total shares from convertible preferred</t>
  </si>
  <si>
    <t>Fully diluted shares</t>
  </si>
  <si>
    <t>LAST FISCAL YEAR</t>
  </si>
  <si>
    <t>Revenues</t>
  </si>
  <si>
    <t>EBIT</t>
  </si>
  <si>
    <t>EBITDA</t>
  </si>
  <si>
    <t>LAST QUARTER</t>
  </si>
  <si>
    <t>EPS</t>
  </si>
  <si>
    <t>Source Document</t>
  </si>
  <si>
    <t>LT debt</t>
  </si>
  <si>
    <t>Net debt</t>
  </si>
  <si>
    <t>EPS - latest FYE</t>
  </si>
  <si>
    <t>EBIT - latest FYE</t>
  </si>
  <si>
    <t>EBITDA - latest FYE</t>
  </si>
  <si>
    <t>Revenues - latest FYE</t>
  </si>
  <si>
    <t xml:space="preserve">Date of latest fiscal year end (FYE) </t>
  </si>
  <si>
    <t>Last Twelve Months (LTM)</t>
  </si>
  <si>
    <t>Year 1</t>
  </si>
  <si>
    <t>Year 2</t>
  </si>
  <si>
    <t>Long-term growth rate</t>
  </si>
  <si>
    <t>Mean</t>
  </si>
  <si>
    <t>High</t>
  </si>
  <si>
    <t>Low</t>
  </si>
  <si>
    <t>Median</t>
  </si>
  <si>
    <t>P/E</t>
  </si>
  <si>
    <t>Pretax income</t>
  </si>
  <si>
    <t>Noncontrolling interests</t>
  </si>
  <si>
    <t>LAST TWELVE MONTHS (LTM)</t>
  </si>
  <si>
    <t>Diluted EPS</t>
  </si>
  <si>
    <t>YEAR 1 FORECAST - CALENDAR YEAR</t>
  </si>
  <si>
    <t>YEAR 2 FORECAST - CALENDAR YEAR</t>
  </si>
  <si>
    <t>S&amp;P/CIQ</t>
  </si>
  <si>
    <t>Source for estimates:</t>
  </si>
  <si>
    <t>Year ending date</t>
  </si>
  <si>
    <t>LTM ending date:</t>
  </si>
  <si>
    <t>Revenues - LTM</t>
  </si>
  <si>
    <t>EBITDA - LTM</t>
  </si>
  <si>
    <t>EBIT - LTM</t>
  </si>
  <si>
    <t>EPS - LTM</t>
  </si>
  <si>
    <t>LONG TERM (5 YEAR) GROWTH RATE</t>
  </si>
  <si>
    <t>Revenues - Year 1</t>
  </si>
  <si>
    <t>EBITDA - Year 1</t>
  </si>
  <si>
    <t>EBIT - Year 1</t>
  </si>
  <si>
    <t>EPS - Year 1</t>
  </si>
  <si>
    <t>Revenues - Year 2</t>
  </si>
  <si>
    <t>EBITDA - Year 2</t>
  </si>
  <si>
    <t>EBIT - Year 2</t>
  </si>
  <si>
    <t>EPS - Year 2</t>
  </si>
  <si>
    <t>Multiples</t>
  </si>
  <si>
    <t xml:space="preserve">EV / Revenues - LTM </t>
  </si>
  <si>
    <t xml:space="preserve">EV / EBITDA - LTM </t>
  </si>
  <si>
    <t xml:space="preserve">EV / EBIT - LTM </t>
  </si>
  <si>
    <t xml:space="preserve">P/E - LTM </t>
  </si>
  <si>
    <t>EV / Revenues - Year 1</t>
  </si>
  <si>
    <t>EV / EBITDA - Year 1</t>
  </si>
  <si>
    <t>EV / EBIT - Year 1</t>
  </si>
  <si>
    <t>P/E - Year 1</t>
  </si>
  <si>
    <t>EV / Revenues - Year 2</t>
  </si>
  <si>
    <t>EV / EBITDA - Year 2</t>
  </si>
  <si>
    <t>EV / EBIT - Year 2</t>
  </si>
  <si>
    <t>P/E - Year 2</t>
  </si>
  <si>
    <t>PE/LTG (PEG ratio)</t>
  </si>
  <si>
    <t>Enterprise value (EV)</t>
  </si>
  <si>
    <t>Share price</t>
  </si>
  <si>
    <t>Diluted shares outstanding (mm)</t>
  </si>
  <si>
    <t>Market capitalization (mm)</t>
  </si>
  <si>
    <t>MARKET VALUATION</t>
  </si>
  <si>
    <t>MULTIPLES SUMMARY</t>
  </si>
  <si>
    <t>Last twelve month (LTM)</t>
  </si>
  <si>
    <t xml:space="preserve">Revenues </t>
  </si>
  <si>
    <t>EV / Revenues</t>
  </si>
  <si>
    <t>EV / EBITDA</t>
  </si>
  <si>
    <t>EV / EBIT</t>
  </si>
  <si>
    <t xml:space="preserve">P/E </t>
  </si>
  <si>
    <t>LT growth rate</t>
  </si>
  <si>
    <t>PEG ratio</t>
  </si>
  <si>
    <t>Year 1 Forecast - Calendar Year</t>
  </si>
  <si>
    <t>Year 2 Forecast - Calendar Year</t>
  </si>
  <si>
    <t>Name</t>
  </si>
  <si>
    <t xml:space="preserve">Gross Profit </t>
  </si>
  <si>
    <t xml:space="preserve">Net Income </t>
  </si>
  <si>
    <t>Share price date</t>
  </si>
  <si>
    <t>PEP</t>
  </si>
  <si>
    <t>KDP</t>
  </si>
  <si>
    <t>MNST</t>
  </si>
  <si>
    <t>CELH</t>
  </si>
  <si>
    <t>Inputs</t>
  </si>
  <si>
    <t>Outputs</t>
  </si>
  <si>
    <t>Comps Analysis</t>
  </si>
  <si>
    <t>Mohanad Assali</t>
  </si>
  <si>
    <t>COGS</t>
  </si>
  <si>
    <t>SG&amp;A</t>
  </si>
  <si>
    <t>Other Expenses</t>
  </si>
  <si>
    <t>Interest expense</t>
  </si>
  <si>
    <t>Non operating income</t>
  </si>
  <si>
    <t>Non operating expense</t>
  </si>
  <si>
    <t>Taxes (Benefit)</t>
  </si>
  <si>
    <t>D&amp;A</t>
  </si>
  <si>
    <t>Shares Data</t>
  </si>
  <si>
    <t>Market Data Inputs</t>
  </si>
  <si>
    <t>Financials</t>
  </si>
  <si>
    <t>11/6/2025 (Q3)</t>
  </si>
  <si>
    <t>11/6/2025(Q3)</t>
  </si>
  <si>
    <t>10/28/2025(Q3)</t>
  </si>
  <si>
    <t>10/9/2025(Q3)</t>
  </si>
  <si>
    <t>PepsiCo.</t>
  </si>
  <si>
    <t>Keurig Dr Pepper</t>
  </si>
  <si>
    <t>Monster</t>
  </si>
  <si>
    <t>Celsius</t>
  </si>
  <si>
    <t>LAST QUARTER MINUS 1</t>
  </si>
  <si>
    <t>*standard</t>
  </si>
  <si>
    <t>S&amp;P/CIQ Forecasts</t>
  </si>
  <si>
    <t>10-Q Q3 2025</t>
  </si>
  <si>
    <t>Balance Sheet Data</t>
  </si>
  <si>
    <t>ST Data (Incl. current portion)</t>
  </si>
  <si>
    <t>preferred stock</t>
  </si>
  <si>
    <t>Gross Profit</t>
  </si>
  <si>
    <t>Cash &amp; equivalents</t>
  </si>
  <si>
    <t>Net Debt</t>
  </si>
  <si>
    <t>last modified 1/27/2026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</si>
</sst>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#,##0.00_);\(#,##0\)"/>
    <numFmt numFmtId="165" formatCode="#,##0.0%_);\(#,##0.0%\)"/>
    <numFmt numFmtId="166" formatCode="0.0\ \x"/>
    <numFmt numFmtId="167" formatCode="#,##0.00\ ;\(#,##0.00\)"/>
    <numFmt numFmtId="168" formatCode="&quot;$&quot;#,##0.00\ ;\(&quot;$&quot;#,##0.00\)"/>
    <numFmt numFmtId="169" formatCode="0.0%_);\(0.0%\)"/>
    <numFmt numFmtId="170" formatCode="0.000\ \x&quot;rate&quot;"/>
    <numFmt numFmtId="171" formatCode="#,##0.000_);[Red]\(#,##0.000\)"/>
    <numFmt numFmtId="172" formatCode="0.00_);\(0.00\);0.00"/>
    <numFmt numFmtId="173" formatCode="\C&quot;$&quot;#,##0.00_);[Red]\(&quot;$&quot;#,##0.00\)"/>
    <numFmt numFmtId="174" formatCode="#,##0%_);\(#,##0.0%\)"/>
    <numFmt numFmtId="175" formatCode="_(* #,##0.00000000_);_(* \(#,##0.00000000\);_(* &quot;-&quot;?_);_(@_)"/>
    <numFmt numFmtId="176" formatCode="mmm\-d\-yyyy"/>
    <numFmt numFmtId="177" formatCode="mmm\-yyyy"/>
    <numFmt numFmtId="178" formatCode="yyyy"/>
    <numFmt numFmtId="179" formatCode="0.00\x&quot;rate&quot;"/>
    <numFmt numFmtId="180" formatCode="0.0&quot;  &quot;"/>
    <numFmt numFmtId="181" formatCode="&quot;$&quot;#,##0.0\ ;[Red]\(&quot;$&quot;#,##0\)"/>
    <numFmt numFmtId="182" formatCode="_(&quot;$&quot;* #,##0.00_);_(&quot;$&quot;* \(#,##0.00\);_(&quot;$&quot;* &quot;-&quot;?_);_(@_)"/>
    <numFmt numFmtId="183" formatCode="&quot;$&quot;#,##0.000_);[Red]\(&quot;$&quot;#,##0.000\)"/>
    <numFmt numFmtId="184" formatCode="&quot;$&quot;#,##0.00&quot;A&quot;;[Red]\(&quot;$&quot;#,##0.00\)&quot;A&quot;"/>
    <numFmt numFmtId="185" formatCode="#,##0.0\ ;[Red]\(&quot;$&quot;#,##0\)"/>
    <numFmt numFmtId="186" formatCode="&quot;$&quot;#,##0.00&quot;E&quot;;[Red]\(&quot;$&quot;#,##0.00\)&quot;E&quot;"/>
    <numFmt numFmtId="187" formatCode="_([$€-2]* #,##0.00_);_([$€-2]* \(#,##0.00\);_([$€-2]* &quot;-&quot;??_)"/>
    <numFmt numFmtId="188" formatCode="#,##0.00;\(#,##0.00\)"/>
    <numFmt numFmtId="189" formatCode=".%\,\(0.0%%;\t"/>
    <numFmt numFmtId="190" formatCode="#,##0.0_);[Red]\(#,##0.0\)"/>
    <numFmt numFmtId="191" formatCode="0.0%_);[Red]\(0.0%\)"/>
    <numFmt numFmtId="192" formatCode="0.00_);\(0.00\);0.00_)"/>
    <numFmt numFmtId="193" formatCode="0.0%"/>
    <numFmt numFmtId="194" formatCode="#,##0\x"/>
    <numFmt numFmtId="195" formatCode="&quot;TKR&quot;\ 0"/>
    <numFmt numFmtId="196" formatCode=".%\,\(0.%%;\t"/>
    <numFmt numFmtId="197" formatCode="&quot;$&quot;#,###.0\ \ "/>
    <numFmt numFmtId="198" formatCode="#,##0.00\x_);[Red]\(#,##0.00\x\)"/>
    <numFmt numFmtId="199" formatCode="#,##0.0_);\(#,##0.0\)"/>
    <numFmt numFmtId="200" formatCode="#,##0.000_);\(#,##0.000\)"/>
    <numFmt numFmtId="201" formatCode="#,##0.00\x_);[Red]\(#,##0.00\x\);&quot;--  &quot;"/>
    <numFmt numFmtId="202" formatCode="_(* #,##0.0_);_(* \(#,##0.0\);_(* &quot;-&quot;??_);_(@_)"/>
    <numFmt numFmtId="203" formatCode="0.0\x_);[Red]\(0.0\x\)"/>
    <numFmt numFmtId="204" formatCode="0.0\ "/>
    <numFmt numFmtId="205" formatCode="&quot;$&quot;#,##0.0;\(&quot;$&quot;#,##0.00\)"/>
    <numFmt numFmtId="206" formatCode="#,##0.00%_);\(#,##0.00%\)"/>
    <numFmt numFmtId="207" formatCode="0.00\%;\-0.00\%;0.00\%"/>
    <numFmt numFmtId="208" formatCode="0.0%\ ;\(0.0%\)"/>
    <numFmt numFmtId="209" formatCode="_(&quot;$&quot;* #,##0_);_(&quot;$&quot;* \(#,##0\);_(&quot;$&quot;* &quot;-&quot;??_);_(@_)"/>
    <numFmt numFmtId="210" formatCode="&quot;$&quot;0.00\ "/>
    <numFmt numFmtId="211" formatCode="0.0\ \ \ \ \ "/>
    <numFmt numFmtId="212" formatCode="0.00\x;\-0.00\x;0.00\x"/>
    <numFmt numFmtId="213" formatCode="&quot;$&quot;#,##0.000_);\(&quot;$&quot;#,##0.000\)"/>
    <numFmt numFmtId="214" formatCode="#,##0.0_);\(#,##0.0\);_(* &quot;-&quot;_)"/>
    <numFmt numFmtId="215" formatCode="_(&quot;$&quot;* #,##0.00_);_(&quot;$&quot;* \(#,##0.00\);_(* &quot;-&quot;_);_(@_)"/>
    <numFmt numFmtId="216" formatCode="0.00%_);[Red]\(0.00%\)"/>
    <numFmt numFmtId="217" formatCode="#,##0.0\x_);\(#,##0.0\x\)"/>
    <numFmt numFmtId="218" formatCode="#,##0.00\x_);\(#,##0.00\x\)"/>
    <numFmt numFmtId="219" formatCode="###0&quot;E&quot;_)"/>
    <numFmt numFmtId="220" formatCode="m/d/yyyy;@"/>
    <numFmt numFmtId="221" formatCode="&quot;$&quot;#,##0.0_);\(&quot;$&quot;#,##0.0\)"/>
    <numFmt numFmtId="222" formatCode="0.0%;\ \(0.0%\)"/>
    <numFmt numFmtId="223" formatCode="0.0\x;\ \(0.0\x\)"/>
    <numFmt numFmtId="224" formatCode="0.000%"/>
    <numFmt numFmtId="225" formatCode="#,##0.0_);\(#,##0.0\);@_)"/>
    <numFmt numFmtId="226" formatCode="&quot;$&quot;#,##0.00000_);\(&quot;$&quot;#,##0.00000\)"/>
    <numFmt numFmtId="227" formatCode="#,##0.0_);\(#,##0.0\);\-_);@_)"/>
    <numFmt numFmtId="228" formatCode="0.0%_);\(0.0%\);@_)"/>
    <numFmt numFmtId="229" formatCode="0.0\x_);\(0.0\x\);@_)"/>
    <numFmt numFmtId="230" formatCode="#,##0.00_);\(#,##0.00\);@_)"/>
    <numFmt numFmtId="231" formatCode="m/d/yy;@"/>
    <numFmt numFmtId="232" formatCode="&quot;$&quot;#,##0.00_);\(&quot;$&quot;#,##0.00\);@_)"/>
  </numFmts>
  <fonts count="68">
    <font>
      <sz val="11"/>
      <color theme="1"/>
      <name val="Calibri"/>
      <family val="2"/>
      <scheme val="minor"/>
    </font>
    <font>
      <sz val="10"/>
      <name val="GillSans"/>
    </font>
    <font>
      <sz val="8"/>
      <color indexed="49"/>
      <name val="Times New Roman"/>
      <family val="1"/>
    </font>
    <font>
      <sz val="10"/>
      <name val="Arial"/>
      <family val="2"/>
    </font>
    <font>
      <sz val="10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b/>
      <sz val="18"/>
      <name val="Tms Rmn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7"/>
      <name val="GillSans"/>
    </font>
    <font>
      <sz val="10"/>
      <name val="Geneva"/>
    </font>
    <font>
      <sz val="24"/>
      <name val="Arial"/>
      <family val="2"/>
    </font>
    <font>
      <sz val="8"/>
      <name val="Arial"/>
      <family val="2"/>
    </font>
    <font>
      <sz val="10"/>
      <name val="Helvetica"/>
      <family val="2"/>
    </font>
    <font>
      <b/>
      <sz val="8"/>
      <name val="Arial"/>
      <family val="2"/>
    </font>
    <font>
      <b/>
      <sz val="8"/>
      <name val="Times New Roman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i/>
      <sz val="8"/>
      <color indexed="17"/>
      <name val="Times New Roman"/>
      <family val="1"/>
    </font>
    <font>
      <sz val="8"/>
      <color indexed="21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Trebuchet MS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b/>
      <sz val="10"/>
      <color indexed="9"/>
      <name val="Tms Rmn"/>
    </font>
    <font>
      <b/>
      <sz val="10"/>
      <name val="Arial"/>
      <family val="2"/>
    </font>
    <font>
      <sz val="11"/>
      <color indexed="52"/>
      <name val="Calibri"/>
      <family val="2"/>
    </font>
    <font>
      <sz val="8"/>
      <color indexed="18"/>
      <name val="Times New Roman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Palatino"/>
    </font>
    <font>
      <sz val="12"/>
      <name val="Baskerville MT"/>
    </font>
    <font>
      <u/>
      <sz val="10"/>
      <name val="GillSans"/>
      <family val="2"/>
    </font>
    <font>
      <sz val="10"/>
      <name val="GillSans Light"/>
    </font>
    <font>
      <b/>
      <sz val="12"/>
      <name val="Arial"/>
      <family val="2"/>
    </font>
    <font>
      <b/>
      <sz val="16"/>
      <name val="Arial"/>
      <family val="2"/>
    </font>
    <font>
      <sz val="8"/>
      <name val="MS Sans Serif"/>
      <family val="2"/>
    </font>
    <font>
      <sz val="8.25"/>
      <color indexed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39"/>
      <name val="Arial"/>
      <family val="2"/>
    </font>
    <font>
      <sz val="7"/>
      <name val="Times New Roman"/>
      <family val="1"/>
    </font>
    <font>
      <sz val="7"/>
      <color indexed="17"/>
      <name val="Times New Roman"/>
      <family val="1"/>
    </font>
    <font>
      <sz val="7"/>
      <color indexed="18"/>
      <name val="Times New Roman"/>
      <family val="1"/>
    </font>
    <font>
      <b/>
      <sz val="12"/>
      <name val="GillSans"/>
      <family val="2"/>
    </font>
    <font>
      <b/>
      <sz val="18"/>
      <color indexed="56"/>
      <name val="Cambria"/>
      <family val="2"/>
    </font>
    <font>
      <b/>
      <sz val="11"/>
      <name val="GillSans"/>
    </font>
    <font>
      <b/>
      <sz val="8"/>
      <color indexed="18"/>
      <name val="Times New Roman"/>
      <family val="1"/>
    </font>
    <font>
      <i/>
      <sz val="8"/>
      <name val="Times New Roman"/>
      <family val="1"/>
    </font>
    <font>
      <u/>
      <sz val="11"/>
      <name val="GillSans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6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0"/>
      </bottom>
      <diagonal/>
    </border>
    <border>
      <left/>
      <right style="thin">
        <color theme="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2"/>
      </right>
      <top style="thin">
        <color theme="0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rgb="FF000000"/>
      </bottom>
      <diagonal/>
    </border>
    <border>
      <left/>
      <right style="thin">
        <color theme="0"/>
      </right>
      <top style="thin">
        <color theme="2"/>
      </top>
      <bottom style="thin">
        <color theme="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86">
    <xf numFmtId="0" fontId="0" fillId="0" borderId="0"/>
    <xf numFmtId="0" fontId="1" fillId="0" borderId="0"/>
    <xf numFmtId="164" fontId="1" fillId="0" borderId="0">
      <alignment horizontal="right"/>
    </xf>
    <xf numFmtId="165" fontId="1" fillId="2" borderId="0"/>
    <xf numFmtId="166" fontId="1" fillId="2" borderId="0"/>
    <xf numFmtId="165" fontId="1" fillId="2" borderId="0"/>
    <xf numFmtId="167" fontId="1" fillId="2" borderId="0"/>
    <xf numFmtId="168" fontId="1" fillId="2" borderId="0">
      <alignment horizontal="right"/>
    </xf>
    <xf numFmtId="169" fontId="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17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4" fillId="0" borderId="0"/>
    <xf numFmtId="0" fontId="7" fillId="4" borderId="0" applyNumberFormat="0" applyBorder="0" applyAlignment="0" applyProtection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protection locked="0"/>
    </xf>
    <xf numFmtId="0" fontId="9" fillId="0" borderId="0"/>
    <xf numFmtId="37" fontId="10" fillId="0" borderId="0">
      <alignment horizontal="centerContinuous"/>
    </xf>
    <xf numFmtId="0" fontId="11" fillId="21" borderId="2" applyNumberFormat="0" applyAlignment="0" applyProtection="0"/>
    <xf numFmtId="171" fontId="8" fillId="0" borderId="0" applyFont="0" applyFill="0" applyBorder="0" applyAlignment="0" applyProtection="0">
      <protection locked="0"/>
    </xf>
    <xf numFmtId="171" fontId="8" fillId="0" borderId="3" applyFont="0" applyFill="0" applyAlignment="0" applyProtection="0"/>
    <xf numFmtId="0" fontId="12" fillId="22" borderId="4" applyNumberFormat="0" applyAlignment="0" applyProtection="0"/>
    <xf numFmtId="0" fontId="3" fillId="0" borderId="0">
      <alignment horizontal="center" wrapText="1"/>
      <protection hidden="1"/>
    </xf>
    <xf numFmtId="0" fontId="13" fillId="0" borderId="5" applyNumberFormat="0" applyFill="0" applyBorder="0" applyProtection="0">
      <alignment horizontal="left" vertical="center"/>
    </xf>
    <xf numFmtId="0" fontId="13" fillId="0" borderId="5" applyNumberFormat="0" applyFill="0" applyBorder="0" applyProtection="0">
      <alignment horizontal="right" vertical="center"/>
    </xf>
    <xf numFmtId="43" fontId="3" fillId="0" borderId="0" applyFont="0" applyFill="0" applyBorder="0" applyAlignment="0" applyProtection="0"/>
    <xf numFmtId="37" fontId="14" fillId="0" borderId="0" applyFont="0" applyFill="0" applyBorder="0" applyAlignment="0" applyProtection="0"/>
    <xf numFmtId="39" fontId="14" fillId="0" borderId="0" applyFont="0" applyFill="0" applyBorder="0" applyAlignment="0" applyProtection="0"/>
    <xf numFmtId="0" fontId="15" fillId="23" borderId="0">
      <alignment horizontal="center" vertical="center" wrapText="1"/>
    </xf>
    <xf numFmtId="172" fontId="3" fillId="0" borderId="0" applyFill="0" applyBorder="0">
      <alignment horizontal="right"/>
      <protection locked="0"/>
    </xf>
    <xf numFmtId="0" fontId="16" fillId="0" borderId="0" applyFont="0" applyFill="0" applyBorder="0" applyAlignment="0"/>
    <xf numFmtId="7" fontId="17" fillId="0" borderId="0" applyFont="0" applyFill="0" applyBorder="0" applyAlignment="0" applyProtection="0"/>
    <xf numFmtId="5" fontId="14" fillId="0" borderId="0" applyFont="0" applyFill="0" applyBorder="0" applyAlignment="0" applyProtection="0"/>
    <xf numFmtId="173" fontId="4" fillId="0" borderId="0" applyFill="0" applyBorder="0" applyProtection="0">
      <alignment horizontal="right"/>
    </xf>
    <xf numFmtId="174" fontId="1" fillId="2" borderId="6">
      <alignment horizontal="right"/>
    </xf>
    <xf numFmtId="175" fontId="1" fillId="2" borderId="6">
      <alignment horizontal="right"/>
    </xf>
    <xf numFmtId="174" fontId="1" fillId="2" borderId="6">
      <alignment horizontal="right"/>
    </xf>
    <xf numFmtId="15" fontId="18" fillId="0" borderId="0" applyFill="0" applyBorder="0" applyAlignment="0"/>
    <xf numFmtId="176" fontId="16" fillId="24" borderId="0" applyFont="0" applyFill="0" applyBorder="0" applyAlignment="0" applyProtection="0"/>
    <xf numFmtId="177" fontId="18" fillId="0" borderId="5"/>
    <xf numFmtId="14" fontId="19" fillId="0" borderId="0" applyFont="0" applyFill="0" applyBorder="0" applyAlignment="0" applyProtection="0">
      <alignment horizontal="center"/>
    </xf>
    <xf numFmtId="178" fontId="19" fillId="0" borderId="0" applyFont="0" applyFill="0" applyBorder="0" applyAlignment="0" applyProtection="0">
      <alignment horizontal="center"/>
    </xf>
    <xf numFmtId="179" fontId="4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8" fillId="0" borderId="0" applyFont="0" applyFill="0" applyBorder="0" applyAlignment="0" applyProtection="0">
      <alignment horizontal="right"/>
    </xf>
    <xf numFmtId="6" fontId="8" fillId="0" borderId="0" applyFont="0" applyFill="0" applyBorder="0" applyAlignment="0" applyProtection="0"/>
    <xf numFmtId="39" fontId="1" fillId="25" borderId="0"/>
    <xf numFmtId="7" fontId="1" fillId="25" borderId="0" applyBorder="0"/>
    <xf numFmtId="180" fontId="1" fillId="25" borderId="0"/>
    <xf numFmtId="181" fontId="1" fillId="0" borderId="0"/>
    <xf numFmtId="182" fontId="1" fillId="25" borderId="0"/>
    <xf numFmtId="183" fontId="1" fillId="25" borderId="0"/>
    <xf numFmtId="184" fontId="9" fillId="0" borderId="0" applyFont="0" applyFill="0" applyBorder="0" applyProtection="0">
      <alignment horizontal="left"/>
      <protection locked="0"/>
    </xf>
    <xf numFmtId="185" fontId="1" fillId="0" borderId="0"/>
    <xf numFmtId="186" fontId="9" fillId="0" borderId="0" applyFont="0" applyFill="0" applyBorder="0" applyProtection="0">
      <alignment horizontal="left"/>
      <protection locked="0"/>
    </xf>
    <xf numFmtId="187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9" fontId="1" fillId="0" borderId="7"/>
    <xf numFmtId="188" fontId="1" fillId="2" borderId="6">
      <alignment horizontal="right"/>
    </xf>
    <xf numFmtId="189" fontId="1" fillId="2" borderId="6">
      <alignment horizontal="right"/>
    </xf>
    <xf numFmtId="188" fontId="1" fillId="2" borderId="6">
      <alignment horizontal="right"/>
    </xf>
    <xf numFmtId="190" fontId="8" fillId="0" borderId="0" applyFill="0" applyBorder="0" applyAlignment="0" applyProtection="0">
      <protection locked="0"/>
    </xf>
    <xf numFmtId="0" fontId="21" fillId="5" borderId="0" applyNumberFormat="0" applyBorder="0" applyAlignment="0" applyProtection="0"/>
    <xf numFmtId="191" fontId="22" fillId="0" borderId="0" applyFill="0" applyBorder="0" applyAlignment="0" applyProtection="0"/>
    <xf numFmtId="169" fontId="23" fillId="0" borderId="0" applyAlignment="0">
      <alignment horizontal="left"/>
      <protection locked="0"/>
    </xf>
    <xf numFmtId="190" fontId="4" fillId="26" borderId="8" applyNumberFormat="0" applyFont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190" fontId="27" fillId="0" borderId="0" applyNumberFormat="0" applyFill="0" applyBorder="0" applyAlignment="0" applyProtection="0"/>
    <xf numFmtId="0" fontId="28" fillId="0" borderId="0"/>
    <xf numFmtId="171" fontId="8" fillId="0" borderId="0" applyFont="0" applyFill="0" applyBorder="0" applyAlignment="0" applyProtection="0"/>
    <xf numFmtId="38" fontId="8" fillId="0" borderId="0" applyFill="0" applyBorder="0" applyAlignment="0" applyProtection="0">
      <alignment horizontal="right"/>
      <protection locked="0"/>
    </xf>
    <xf numFmtId="0" fontId="29" fillId="8" borderId="2" applyNumberFormat="0" applyAlignment="0" applyProtection="0"/>
    <xf numFmtId="0" fontId="16" fillId="24" borderId="0" applyFont="0" applyBorder="0" applyAlignment="0">
      <protection locked="0"/>
    </xf>
    <xf numFmtId="0" fontId="3" fillId="0" borderId="0" applyFill="0" applyBorder="0">
      <alignment horizontal="right"/>
      <protection locked="0"/>
    </xf>
    <xf numFmtId="17" fontId="30" fillId="27" borderId="0"/>
    <xf numFmtId="192" fontId="3" fillId="0" borderId="0" applyFill="0" applyBorder="0">
      <alignment horizontal="right"/>
      <protection locked="0"/>
    </xf>
    <xf numFmtId="0" fontId="31" fillId="28" borderId="12">
      <alignment horizontal="left" vertical="center" wrapText="1"/>
    </xf>
    <xf numFmtId="0" fontId="32" fillId="0" borderId="13" applyNumberFormat="0" applyFill="0" applyAlignment="0" applyProtection="0"/>
    <xf numFmtId="193" fontId="8" fillId="0" borderId="0" applyFont="0" applyFill="0" applyBorder="0" applyAlignment="0" applyProtection="0">
      <alignment horizontal="right"/>
    </xf>
    <xf numFmtId="194" fontId="1" fillId="0" borderId="0">
      <alignment horizontal="right"/>
    </xf>
    <xf numFmtId="195" fontId="1" fillId="25" borderId="0">
      <alignment horizontal="right"/>
    </xf>
    <xf numFmtId="196" fontId="1" fillId="0" borderId="0">
      <alignment horizontal="right"/>
    </xf>
    <xf numFmtId="194" fontId="1" fillId="0" borderId="0">
      <alignment horizontal="right"/>
    </xf>
    <xf numFmtId="169" fontId="33" fillId="0" borderId="0" applyFill="0" applyBorder="0" applyAlignment="0" applyProtection="0">
      <alignment horizontal="right"/>
    </xf>
    <xf numFmtId="169" fontId="33" fillId="0" borderId="0" applyFill="0" applyBorder="0" applyAlignment="0" applyProtection="0"/>
    <xf numFmtId="197" fontId="1" fillId="2" borderId="6">
      <alignment horizontal="right"/>
    </xf>
    <xf numFmtId="198" fontId="8" fillId="0" borderId="0" applyFont="0" applyFill="0" applyBorder="0" applyAlignment="0" applyProtection="0"/>
    <xf numFmtId="0" fontId="14" fillId="2" borderId="0" applyFont="0" applyBorder="0" applyAlignment="0" applyProtection="0">
      <alignment horizontal="right"/>
      <protection hidden="1"/>
    </xf>
    <xf numFmtId="0" fontId="34" fillId="26" borderId="0" applyNumberFormat="0" applyBorder="0" applyAlignment="0" applyProtection="0"/>
    <xf numFmtId="37" fontId="17" fillId="0" borderId="0" applyFont="0" applyFill="0" applyBorder="0" applyAlignment="0" applyProtection="0"/>
    <xf numFmtId="199" fontId="3" fillId="0" borderId="0" applyFont="0" applyFill="0" applyBorder="0" applyAlignment="0" applyProtection="0"/>
    <xf numFmtId="39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0" fontId="5" fillId="29" borderId="14" applyNumberFormat="0" applyFont="0" applyAlignment="0" applyProtection="0"/>
    <xf numFmtId="0" fontId="14" fillId="0" borderId="0" applyFont="0" applyFill="0" applyBorder="0" applyAlignment="0" applyProtection="0"/>
    <xf numFmtId="202" fontId="3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5" fillId="21" borderId="15" applyNumberFormat="0" applyAlignment="0" applyProtection="0"/>
    <xf numFmtId="203" fontId="8" fillId="0" borderId="0" applyFont="0" applyFill="0" applyBorder="0" applyAlignment="0" applyProtection="0">
      <alignment horizontal="right"/>
    </xf>
    <xf numFmtId="0" fontId="36" fillId="0" borderId="0" applyNumberFormat="0" applyFill="0" applyBorder="0" applyAlignment="0" applyProtection="0"/>
    <xf numFmtId="0" fontId="16" fillId="0" borderId="0"/>
    <xf numFmtId="204" fontId="1" fillId="25" borderId="0"/>
    <xf numFmtId="9" fontId="8" fillId="0" borderId="0" applyFont="0" applyFill="0" applyBorder="0" applyAlignment="0" applyProtection="0">
      <alignment horizontal="right"/>
    </xf>
    <xf numFmtId="205" fontId="1" fillId="0" borderId="0"/>
    <xf numFmtId="0" fontId="3" fillId="0" borderId="0" applyFont="0" applyFill="0" applyBorder="0" applyAlignment="0"/>
    <xf numFmtId="165" fontId="3" fillId="0" borderId="0" applyFont="0" applyFill="0" applyBorder="0" applyAlignment="0" applyProtection="0"/>
    <xf numFmtId="206" fontId="3" fillId="0" borderId="0" applyFont="0" applyFill="0" applyBorder="0" applyAlignment="0" applyProtection="0"/>
    <xf numFmtId="207" fontId="3" fillId="0" borderId="0" applyFill="0" applyBorder="0">
      <alignment horizontal="right"/>
      <protection locked="0"/>
    </xf>
    <xf numFmtId="191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171" fontId="8" fillId="0" borderId="0" applyFont="0" applyFill="0" applyBorder="0" applyAlignment="0" applyProtection="0">
      <protection locked="0"/>
    </xf>
    <xf numFmtId="190" fontId="8" fillId="0" borderId="0" applyFill="0" applyBorder="0" applyAlignment="0" applyProtection="0"/>
    <xf numFmtId="38" fontId="8" fillId="0" borderId="0" applyFont="0" applyFill="0" applyBorder="0" applyAlignment="0" applyProtection="0"/>
    <xf numFmtId="167" fontId="1" fillId="2" borderId="16">
      <alignment horizontal="right"/>
    </xf>
    <xf numFmtId="208" fontId="37" fillId="2" borderId="0"/>
    <xf numFmtId="209" fontId="1" fillId="2" borderId="0"/>
    <xf numFmtId="0" fontId="38" fillId="0" borderId="0">
      <alignment horizontal="center"/>
    </xf>
    <xf numFmtId="0" fontId="1" fillId="0" borderId="5">
      <alignment horizontal="centerContinuous"/>
    </xf>
    <xf numFmtId="210" fontId="1" fillId="2" borderId="0">
      <alignment horizontal="right"/>
    </xf>
    <xf numFmtId="211" fontId="1" fillId="2" borderId="6">
      <alignment horizontal="right"/>
    </xf>
    <xf numFmtId="212" fontId="3" fillId="0" borderId="0">
      <alignment horizontal="right"/>
      <protection locked="0"/>
    </xf>
    <xf numFmtId="190" fontId="19" fillId="0" borderId="0" applyFont="0" applyFill="0" applyBorder="0" applyAlignment="0" applyProtection="0"/>
    <xf numFmtId="0" fontId="39" fillId="0" borderId="0" applyNumberFormat="0" applyFill="0" applyBorder="0" applyProtection="0">
      <alignment horizontal="right" vertical="center"/>
    </xf>
    <xf numFmtId="0" fontId="40" fillId="23" borderId="8">
      <alignment horizontal="center" vertical="center" wrapText="1"/>
      <protection hidden="1"/>
    </xf>
    <xf numFmtId="171" fontId="8" fillId="0" borderId="0" applyFill="0" applyBorder="0" applyAlignment="0" applyProtection="0">
      <protection locked="0"/>
    </xf>
    <xf numFmtId="213" fontId="19" fillId="0" borderId="0" applyFont="0" applyFill="0" applyBorder="0" applyAlignment="0" applyProtection="0">
      <alignment horizontal="right"/>
    </xf>
    <xf numFmtId="38" fontId="3" fillId="0" borderId="0" applyFont="0" applyFill="0" applyBorder="0" applyAlignment="0" applyProtection="0"/>
    <xf numFmtId="0" fontId="41" fillId="0" borderId="17" applyNumberFormat="0" applyFill="0" applyProtection="0">
      <alignment horizontal="left" vertical="top" wrapText="1"/>
    </xf>
    <xf numFmtId="0" fontId="28" fillId="0" borderId="0" applyNumberFormat="0" applyFill="0" applyBorder="0" applyProtection="0">
      <alignment horizontal="left" vertical="top" wrapText="1"/>
    </xf>
    <xf numFmtId="0" fontId="42" fillId="0" borderId="0" applyNumberFormat="0" applyFill="0" applyProtection="0">
      <alignment horizontal="left" vertical="top" wrapText="1"/>
    </xf>
    <xf numFmtId="0" fontId="43" fillId="0" borderId="0" applyNumberFormat="0" applyFill="0" applyBorder="0" applyProtection="0"/>
    <xf numFmtId="0" fontId="44" fillId="30" borderId="0" applyNumberFormat="0" applyBorder="0" applyProtection="0"/>
    <xf numFmtId="0" fontId="45" fillId="0" borderId="0" applyNumberFormat="0" applyFill="0" applyBorder="0" applyProtection="0">
      <alignment vertical="top"/>
    </xf>
    <xf numFmtId="214" fontId="46" fillId="0" borderId="0" applyFill="0" applyBorder="0" applyProtection="0">
      <alignment horizontal="right" wrapText="1"/>
    </xf>
    <xf numFmtId="215" fontId="46" fillId="0" borderId="0" applyFill="0" applyBorder="0" applyProtection="0">
      <alignment horizontal="right"/>
    </xf>
    <xf numFmtId="4" fontId="16" fillId="0" borderId="0" applyFill="0" applyBorder="0" applyProtection="0">
      <alignment horizontal="right"/>
    </xf>
    <xf numFmtId="183" fontId="47" fillId="0" borderId="0" applyFill="0" applyBorder="0" applyAlignment="0" applyProtection="0"/>
    <xf numFmtId="216" fontId="48" fillId="0" borderId="0" applyFill="0" applyBorder="0" applyAlignment="0" applyProtection="0">
      <alignment horizontal="left"/>
      <protection locked="0"/>
    </xf>
    <xf numFmtId="216" fontId="48" fillId="0" borderId="0" applyFill="0" applyBorder="0" applyAlignment="0" applyProtection="0"/>
    <xf numFmtId="216" fontId="49" fillId="0" borderId="0" applyFill="0" applyBorder="0" applyAlignment="0" applyProtection="0">
      <alignment horizontal="left"/>
      <protection locked="0"/>
    </xf>
    <xf numFmtId="216" fontId="49" fillId="0" borderId="0" applyFill="0" applyBorder="0" applyAlignment="0" applyProtection="0">
      <protection locked="0"/>
    </xf>
    <xf numFmtId="190" fontId="8" fillId="0" borderId="0" applyFill="0" applyBorder="0" applyAlignment="0" applyProtection="0">
      <protection locked="0"/>
    </xf>
    <xf numFmtId="190" fontId="47" fillId="0" borderId="0" applyFill="0" applyBorder="0" applyAlignment="0" applyProtection="0"/>
    <xf numFmtId="49" fontId="50" fillId="0" borderId="0"/>
    <xf numFmtId="217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1" borderId="0" applyNumberFormat="0" applyBorder="0" applyProtection="0">
      <alignment horizontal="left" vertical="center"/>
    </xf>
    <xf numFmtId="190" fontId="53" fillId="0" borderId="0" applyNumberFormat="0" applyFill="0" applyBorder="0" applyAlignment="0" applyProtection="0"/>
    <xf numFmtId="0" fontId="3" fillId="0" borderId="0" applyBorder="0"/>
    <xf numFmtId="38" fontId="54" fillId="0" borderId="0" applyFill="0" applyBorder="0" applyAlignment="0" applyProtection="0">
      <alignment horizontal="left"/>
    </xf>
    <xf numFmtId="0" fontId="55" fillId="0" borderId="0"/>
    <xf numFmtId="0" fontId="56" fillId="0" borderId="18" applyNumberFormat="0" applyFill="0" applyAlignment="0" applyProtection="0"/>
    <xf numFmtId="0" fontId="57" fillId="0" borderId="0" applyNumberFormat="0" applyFill="0" applyBorder="0" applyAlignment="0" applyProtection="0"/>
    <xf numFmtId="1" fontId="8" fillId="0" borderId="0" applyFont="0" applyFill="0" applyBorder="0" applyAlignment="0" applyProtection="0"/>
    <xf numFmtId="219" fontId="17" fillId="0" borderId="0" applyFont="0" applyFill="0" applyBorder="0" applyAlignment="0" applyProtection="0"/>
  </cellStyleXfs>
  <cellXfs count="116">
    <xf numFmtId="0" fontId="0" fillId="0" borderId="0" xfId="0"/>
    <xf numFmtId="0" fontId="59" fillId="0" borderId="0" xfId="0" applyFont="1"/>
    <xf numFmtId="0" fontId="60" fillId="0" borderId="0" xfId="0" applyFont="1"/>
    <xf numFmtId="0" fontId="58" fillId="0" borderId="0" xfId="0" applyFont="1"/>
    <xf numFmtId="220" fontId="0" fillId="0" borderId="0" xfId="0" applyNumberFormat="1"/>
    <xf numFmtId="0" fontId="0" fillId="0" borderId="19" xfId="0" applyBorder="1" applyAlignment="1">
      <alignment horizontal="right" wrapText="1"/>
    </xf>
    <xf numFmtId="0" fontId="61" fillId="31" borderId="0" xfId="0" applyFont="1" applyFill="1"/>
    <xf numFmtId="0" fontId="63" fillId="0" borderId="19" xfId="0" applyFont="1" applyBorder="1" applyAlignment="1">
      <alignment horizontal="right"/>
    </xf>
    <xf numFmtId="0" fontId="63" fillId="0" borderId="19" xfId="0" applyFont="1" applyBorder="1" applyAlignment="1">
      <alignment horizontal="right" wrapText="1"/>
    </xf>
    <xf numFmtId="225" fontId="0" fillId="0" borderId="0" xfId="0" applyNumberFormat="1"/>
    <xf numFmtId="221" fontId="0" fillId="0" borderId="0" xfId="0" applyNumberFormat="1"/>
    <xf numFmtId="199" fontId="0" fillId="0" borderId="0" xfId="0" applyNumberFormat="1"/>
    <xf numFmtId="0" fontId="65" fillId="0" borderId="0" xfId="0" applyFont="1"/>
    <xf numFmtId="0" fontId="66" fillId="0" borderId="0" xfId="0" applyFont="1"/>
    <xf numFmtId="223" fontId="0" fillId="0" borderId="0" xfId="0" applyNumberFormat="1" applyAlignment="1">
      <alignment horizontal="right"/>
    </xf>
    <xf numFmtId="229" fontId="0" fillId="0" borderId="0" xfId="0" applyNumberFormat="1" applyAlignment="1">
      <alignment horizontal="right"/>
    </xf>
    <xf numFmtId="0" fontId="64" fillId="0" borderId="19" xfId="0" applyFont="1" applyBorder="1" applyAlignment="1">
      <alignment horizontal="right" wrapText="1"/>
    </xf>
    <xf numFmtId="227" fontId="0" fillId="0" borderId="0" xfId="0" applyNumberFormat="1" applyAlignment="1">
      <alignment horizontal="left"/>
    </xf>
    <xf numFmtId="230" fontId="0" fillId="0" borderId="0" xfId="0" applyNumberFormat="1"/>
    <xf numFmtId="229" fontId="62" fillId="31" borderId="0" xfId="0" applyNumberFormat="1" applyFont="1" applyFill="1" applyAlignment="1">
      <alignment horizontal="right"/>
    </xf>
    <xf numFmtId="0" fontId="62" fillId="31" borderId="0" xfId="0" applyFont="1" applyFill="1"/>
    <xf numFmtId="229" fontId="61" fillId="31" borderId="0" xfId="0" applyNumberFormat="1" applyFont="1" applyFill="1" applyAlignment="1">
      <alignment horizontal="right"/>
    </xf>
    <xf numFmtId="0" fontId="60" fillId="0" borderId="1" xfId="0" applyFont="1" applyBorder="1" applyAlignment="1">
      <alignment horizontal="centerContinuous"/>
    </xf>
    <xf numFmtId="229" fontId="0" fillId="0" borderId="1" xfId="0" applyNumberFormat="1" applyBorder="1" applyAlignment="1">
      <alignment horizontal="centerContinuous"/>
    </xf>
    <xf numFmtId="0" fontId="64" fillId="0" borderId="19" xfId="0" applyFont="1" applyBorder="1" applyAlignment="1">
      <alignment horizontal="left" wrapText="1"/>
    </xf>
    <xf numFmtId="0" fontId="0" fillId="0" borderId="20" xfId="0" applyBorder="1"/>
    <xf numFmtId="0" fontId="58" fillId="0" borderId="20" xfId="0" applyFont="1" applyBorder="1"/>
    <xf numFmtId="0" fontId="0" fillId="31" borderId="0" xfId="0" applyFill="1"/>
    <xf numFmtId="0" fontId="60" fillId="31" borderId="0" xfId="0" applyFont="1" applyFill="1"/>
    <xf numFmtId="0" fontId="67" fillId="31" borderId="0" xfId="0" applyFont="1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64" fillId="0" borderId="27" xfId="0" applyFont="1" applyBorder="1" applyAlignment="1">
      <alignment horizontal="right" wrapText="1"/>
    </xf>
    <xf numFmtId="228" fontId="0" fillId="0" borderId="26" xfId="0" applyNumberFormat="1" applyBorder="1"/>
    <xf numFmtId="229" fontId="0" fillId="0" borderId="26" xfId="0" applyNumberFormat="1" applyBorder="1" applyAlignment="1">
      <alignment horizontal="right"/>
    </xf>
    <xf numFmtId="229" fontId="62" fillId="31" borderId="26" xfId="0" applyNumberFormat="1" applyFont="1" applyFill="1" applyBorder="1" applyAlignment="1">
      <alignment horizontal="right"/>
    </xf>
    <xf numFmtId="229" fontId="61" fillId="31" borderId="26" xfId="0" applyNumberFormat="1" applyFont="1" applyFill="1" applyBorder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3" fillId="0" borderId="20" xfId="0" applyFont="1" applyBorder="1"/>
    <xf numFmtId="225" fontId="0" fillId="0" borderId="20" xfId="0" applyNumberFormat="1" applyBorder="1"/>
    <xf numFmtId="0" fontId="0" fillId="32" borderId="20" xfId="0" applyFill="1" applyBorder="1"/>
    <xf numFmtId="0" fontId="0" fillId="33" borderId="31" xfId="0" applyFill="1" applyBorder="1" applyAlignment="1">
      <alignment horizontal="right"/>
    </xf>
    <xf numFmtId="0" fontId="0" fillId="33" borderId="31" xfId="0" applyFill="1" applyBorder="1"/>
    <xf numFmtId="231" fontId="0" fillId="33" borderId="31" xfId="0" applyNumberFormat="1" applyFill="1" applyBorder="1"/>
    <xf numFmtId="7" fontId="60" fillId="33" borderId="31" xfId="0" applyNumberFormat="1" applyFont="1" applyFill="1" applyBorder="1"/>
    <xf numFmtId="199" fontId="60" fillId="0" borderId="0" xfId="0" applyNumberFormat="1" applyFont="1"/>
    <xf numFmtId="231" fontId="0" fillId="33" borderId="32" xfId="0" applyNumberFormat="1" applyFill="1" applyBorder="1"/>
    <xf numFmtId="227" fontId="60" fillId="33" borderId="31" xfId="0" applyNumberFormat="1" applyFont="1" applyFill="1" applyBorder="1" applyAlignment="1">
      <alignment horizontal="right"/>
    </xf>
    <xf numFmtId="231" fontId="0" fillId="33" borderId="33" xfId="0" applyNumberFormat="1" applyFill="1" applyBorder="1"/>
    <xf numFmtId="14" fontId="0" fillId="33" borderId="31" xfId="0" applyNumberFormat="1" applyFill="1" applyBorder="1"/>
    <xf numFmtId="37" fontId="0" fillId="33" borderId="31" xfId="0" applyNumberFormat="1" applyFill="1" applyBorder="1"/>
    <xf numFmtId="37" fontId="60" fillId="0" borderId="0" xfId="0" applyNumberFormat="1" applyFont="1"/>
    <xf numFmtId="0" fontId="0" fillId="34" borderId="0" xfId="0" applyFill="1"/>
    <xf numFmtId="0" fontId="58" fillId="34" borderId="0" xfId="0" applyFont="1" applyFill="1"/>
    <xf numFmtId="226" fontId="0" fillId="34" borderId="0" xfId="0" applyNumberFormat="1" applyFill="1"/>
    <xf numFmtId="213" fontId="0" fillId="34" borderId="0" xfId="0" applyNumberFormat="1" applyFill="1"/>
    <xf numFmtId="200" fontId="0" fillId="34" borderId="0" xfId="0" applyNumberFormat="1" applyFill="1"/>
    <xf numFmtId="0" fontId="0" fillId="0" borderId="0" xfId="0" applyAlignment="1">
      <alignment horizontal="left"/>
    </xf>
    <xf numFmtId="7" fontId="0" fillId="0" borderId="0" xfId="0" applyNumberFormat="1"/>
    <xf numFmtId="7" fontId="65" fillId="0" borderId="0" xfId="0" applyNumberFormat="1" applyFont="1"/>
    <xf numFmtId="224" fontId="0" fillId="0" borderId="0" xfId="0" applyNumberFormat="1"/>
    <xf numFmtId="0" fontId="0" fillId="0" borderId="0" xfId="0" applyAlignment="1">
      <alignment horizontal="left" indent="1"/>
    </xf>
    <xf numFmtId="232" fontId="0" fillId="0" borderId="0" xfId="0" applyNumberFormat="1"/>
    <xf numFmtId="223" fontId="0" fillId="0" borderId="0" xfId="0" applyNumberFormat="1"/>
    <xf numFmtId="231" fontId="0" fillId="33" borderId="34" xfId="0" applyNumberFormat="1" applyFill="1" applyBorder="1"/>
    <xf numFmtId="221" fontId="0" fillId="33" borderId="31" xfId="0" applyNumberFormat="1" applyFill="1" applyBorder="1"/>
    <xf numFmtId="199" fontId="0" fillId="33" borderId="31" xfId="0" applyNumberFormat="1" applyFill="1" applyBorder="1"/>
    <xf numFmtId="225" fontId="0" fillId="33" borderId="31" xfId="0" applyNumberFormat="1" applyFill="1" applyBorder="1"/>
    <xf numFmtId="225" fontId="60" fillId="33" borderId="31" xfId="0" applyNumberFormat="1" applyFont="1" applyFill="1" applyBorder="1"/>
    <xf numFmtId="0" fontId="0" fillId="33" borderId="33" xfId="0" applyFill="1" applyBorder="1"/>
    <xf numFmtId="3" fontId="0" fillId="33" borderId="31" xfId="0" applyNumberFormat="1" applyFill="1" applyBorder="1"/>
    <xf numFmtId="3" fontId="60" fillId="33" borderId="31" xfId="0" applyNumberFormat="1" applyFont="1" applyFill="1" applyBorder="1"/>
    <xf numFmtId="3" fontId="0" fillId="33" borderId="33" xfId="0" applyNumberFormat="1" applyFill="1" applyBorder="1"/>
    <xf numFmtId="4" fontId="60" fillId="33" borderId="31" xfId="0" applyNumberFormat="1" applyFont="1" applyFill="1" applyBorder="1" applyAlignment="1">
      <alignment horizontal="right"/>
    </xf>
    <xf numFmtId="0" fontId="0" fillId="0" borderId="32" xfId="0" applyBorder="1"/>
    <xf numFmtId="0" fontId="60" fillId="34" borderId="31" xfId="0" applyFont="1" applyFill="1" applyBorder="1"/>
    <xf numFmtId="0" fontId="0" fillId="34" borderId="31" xfId="0" applyFill="1" applyBorder="1"/>
    <xf numFmtId="227" fontId="60" fillId="34" borderId="31" xfId="0" applyNumberFormat="1" applyFont="1" applyFill="1" applyBorder="1" applyAlignment="1">
      <alignment horizontal="right"/>
    </xf>
    <xf numFmtId="0" fontId="60" fillId="34" borderId="0" xfId="0" applyFont="1" applyFill="1"/>
    <xf numFmtId="37" fontId="0" fillId="33" borderId="35" xfId="0" applyNumberFormat="1" applyFill="1" applyBorder="1"/>
    <xf numFmtId="0" fontId="0" fillId="0" borderId="36" xfId="0" applyBorder="1"/>
    <xf numFmtId="0" fontId="0" fillId="0" borderId="31" xfId="0" applyBorder="1"/>
    <xf numFmtId="227" fontId="60" fillId="33" borderId="32" xfId="0" applyNumberFormat="1" applyFont="1" applyFill="1" applyBorder="1" applyAlignment="1">
      <alignment horizontal="right"/>
    </xf>
    <xf numFmtId="3" fontId="60" fillId="0" borderId="0" xfId="0" applyNumberFormat="1" applyFont="1"/>
    <xf numFmtId="3" fontId="0" fillId="33" borderId="34" xfId="0" applyNumberFormat="1" applyFill="1" applyBorder="1"/>
    <xf numFmtId="14" fontId="66" fillId="0" borderId="0" xfId="0" applyNumberFormat="1" applyFont="1"/>
    <xf numFmtId="7" fontId="0" fillId="33" borderId="31" xfId="0" applyNumberFormat="1" applyFill="1" applyBorder="1"/>
    <xf numFmtId="4" fontId="0" fillId="33" borderId="31" xfId="0" applyNumberFormat="1" applyFill="1" applyBorder="1"/>
    <xf numFmtId="231" fontId="66" fillId="0" borderId="0" xfId="0" applyNumberFormat="1" applyFont="1"/>
    <xf numFmtId="7" fontId="65" fillId="33" borderId="31" xfId="0" applyNumberFormat="1" applyFont="1" applyFill="1" applyBorder="1"/>
    <xf numFmtId="222" fontId="0" fillId="33" borderId="31" xfId="0" applyNumberFormat="1" applyFill="1" applyBorder="1"/>
    <xf numFmtId="0" fontId="60" fillId="35" borderId="0" xfId="0" applyFont="1" applyFill="1"/>
    <xf numFmtId="0" fontId="0" fillId="35" borderId="0" xfId="0" applyFill="1"/>
    <xf numFmtId="7" fontId="0" fillId="35" borderId="0" xfId="0" applyNumberFormat="1" applyFill="1"/>
    <xf numFmtId="231" fontId="0" fillId="35" borderId="33" xfId="0" applyNumberFormat="1" applyFill="1" applyBorder="1"/>
    <xf numFmtId="0" fontId="60" fillId="35" borderId="31" xfId="0" applyFont="1" applyFill="1" applyBorder="1"/>
    <xf numFmtId="0" fontId="0" fillId="35" borderId="31" xfId="0" applyFill="1" applyBorder="1"/>
    <xf numFmtId="227" fontId="60" fillId="35" borderId="31" xfId="0" applyNumberFormat="1" applyFont="1" applyFill="1" applyBorder="1" applyAlignment="1">
      <alignment horizontal="right"/>
    </xf>
    <xf numFmtId="221" fontId="60" fillId="33" borderId="31" xfId="0" applyNumberFormat="1" applyFont="1" applyFill="1" applyBorder="1"/>
    <xf numFmtId="0" fontId="0" fillId="36" borderId="0" xfId="0" applyFill="1"/>
    <xf numFmtId="199" fontId="0" fillId="36" borderId="31" xfId="0" applyNumberFormat="1" applyFill="1" applyBorder="1"/>
    <xf numFmtId="231" fontId="0" fillId="36" borderId="33" xfId="0" applyNumberFormat="1" applyFill="1" applyBorder="1"/>
    <xf numFmtId="227" fontId="60" fillId="34" borderId="31" xfId="0" applyNumberFormat="1" applyFont="1" applyFill="1" applyBorder="1" applyAlignment="1">
      <alignment horizontal="left"/>
    </xf>
    <xf numFmtId="232" fontId="0" fillId="0" borderId="31" xfId="0" applyNumberFormat="1" applyBorder="1"/>
    <xf numFmtId="225" fontId="0" fillId="0" borderId="31" xfId="0" applyNumberFormat="1" applyBorder="1"/>
    <xf numFmtId="225" fontId="60" fillId="0" borderId="31" xfId="0" applyNumberFormat="1" applyFont="1" applyBorder="1"/>
    <xf numFmtId="221" fontId="60" fillId="0" borderId="31" xfId="0" applyNumberFormat="1" applyFont="1" applyBorder="1"/>
    <xf numFmtId="231" fontId="66" fillId="0" borderId="31" xfId="0" applyNumberFormat="1" applyFont="1" applyBorder="1"/>
    <xf numFmtId="221" fontId="0" fillId="0" borderId="31" xfId="0" applyNumberFormat="1" applyBorder="1"/>
    <xf numFmtId="14" fontId="66" fillId="0" borderId="31" xfId="0" applyNumberFormat="1" applyFont="1" applyBorder="1"/>
  </cellXfs>
  <cellStyles count="186">
    <cellStyle name="$" xfId="1" xr:uid="{00000000-0005-0000-0000-000000000000}"/>
    <cellStyle name="$m" xfId="2" xr:uid="{00000000-0005-0000-0000-000001000000}"/>
    <cellStyle name="$q" xfId="3" xr:uid="{00000000-0005-0000-0000-000002000000}"/>
    <cellStyle name="$q*" xfId="4" xr:uid="{00000000-0005-0000-0000-000003000000}"/>
    <cellStyle name="$q_valuation" xfId="5" xr:uid="{00000000-0005-0000-0000-000004000000}"/>
    <cellStyle name="$qA" xfId="6" xr:uid="{00000000-0005-0000-0000-000005000000}"/>
    <cellStyle name="$qRange" xfId="7" xr:uid="{00000000-0005-0000-0000-000006000000}"/>
    <cellStyle name="%" xfId="8" xr:uid="{00000000-0005-0000-0000-000007000000}"/>
    <cellStyle name="******************************************" xfId="9" xr:uid="{00000000-0005-0000-0000-000008000000}"/>
    <cellStyle name="2 Decimal Places_MA Software Comps - List_AccretionDilution OTGS v16.xls Chart 1" xfId="10" xr:uid="{00000000-0005-0000-0000-000009000000}"/>
    <cellStyle name="20% - Accent1 2" xfId="11" xr:uid="{00000000-0005-0000-0000-00000A000000}"/>
    <cellStyle name="20% - Accent2 2" xfId="12" xr:uid="{00000000-0005-0000-0000-00000B000000}"/>
    <cellStyle name="20% - Accent3 2" xfId="13" xr:uid="{00000000-0005-0000-0000-00000C000000}"/>
    <cellStyle name="20% - Accent4 2" xfId="14" xr:uid="{00000000-0005-0000-0000-00000D000000}"/>
    <cellStyle name="20% - Accent5 2" xfId="15" xr:uid="{00000000-0005-0000-0000-00000E000000}"/>
    <cellStyle name="20% - Accent6 2" xfId="16" xr:uid="{00000000-0005-0000-0000-00000F000000}"/>
    <cellStyle name="40% - Accent1 2" xfId="17" xr:uid="{00000000-0005-0000-0000-000010000000}"/>
    <cellStyle name="40% - Accent2 2" xfId="18" xr:uid="{00000000-0005-0000-0000-000011000000}"/>
    <cellStyle name="40% - Accent3 2" xfId="19" xr:uid="{00000000-0005-0000-0000-000012000000}"/>
    <cellStyle name="40% - Accent4 2" xfId="20" xr:uid="{00000000-0005-0000-0000-000013000000}"/>
    <cellStyle name="40% - Accent5 2" xfId="21" xr:uid="{00000000-0005-0000-0000-000014000000}"/>
    <cellStyle name="40% - Accent6 2" xfId="22" xr:uid="{00000000-0005-0000-0000-000015000000}"/>
    <cellStyle name="60% - Accent1 2" xfId="23" xr:uid="{00000000-0005-0000-0000-000016000000}"/>
    <cellStyle name="60% - Accent2 2" xfId="24" xr:uid="{00000000-0005-0000-0000-000017000000}"/>
    <cellStyle name="60% - Accent3 2" xfId="25" xr:uid="{00000000-0005-0000-0000-000018000000}"/>
    <cellStyle name="60% - Accent4 2" xfId="26" xr:uid="{00000000-0005-0000-0000-000019000000}"/>
    <cellStyle name="60% - Accent5 2" xfId="27" xr:uid="{00000000-0005-0000-0000-00001A000000}"/>
    <cellStyle name="60% - Accent6 2" xfId="28" xr:uid="{00000000-0005-0000-0000-00001B000000}"/>
    <cellStyle name="Accent1 2" xfId="29" xr:uid="{00000000-0005-0000-0000-00001C000000}"/>
    <cellStyle name="Accent2 2" xfId="30" xr:uid="{00000000-0005-0000-0000-00001D000000}"/>
    <cellStyle name="Accent3 2" xfId="31" xr:uid="{00000000-0005-0000-0000-00001E000000}"/>
    <cellStyle name="Accent4 2" xfId="32" xr:uid="{00000000-0005-0000-0000-00001F000000}"/>
    <cellStyle name="Accent5 2" xfId="33" xr:uid="{00000000-0005-0000-0000-000020000000}"/>
    <cellStyle name="Accent6 2" xfId="34" xr:uid="{00000000-0005-0000-0000-000021000000}"/>
    <cellStyle name="AFE" xfId="35" xr:uid="{00000000-0005-0000-0000-000022000000}"/>
    <cellStyle name="Bad 2" xfId="36" xr:uid="{00000000-0005-0000-0000-000023000000}"/>
    <cellStyle name="Balance" xfId="37" xr:uid="{00000000-0005-0000-0000-000024000000}"/>
    <cellStyle name="BalanceSheet" xfId="38" xr:uid="{00000000-0005-0000-0000-000025000000}"/>
    <cellStyle name="Body_$Numeric" xfId="39" xr:uid="{00000000-0005-0000-0000-000026000000}"/>
    <cellStyle name="Bold Header" xfId="40" xr:uid="{00000000-0005-0000-0000-000027000000}"/>
    <cellStyle name="Calculation 2" xfId="41" xr:uid="{00000000-0005-0000-0000-000028000000}"/>
    <cellStyle name="CashFlow" xfId="42" xr:uid="{00000000-0005-0000-0000-000029000000}"/>
    <cellStyle name="Check" xfId="43" xr:uid="{00000000-0005-0000-0000-00002A000000}"/>
    <cellStyle name="Check Cell 2" xfId="44" xr:uid="{00000000-0005-0000-0000-00002B000000}"/>
    <cellStyle name="ColHeading" xfId="45" xr:uid="{00000000-0005-0000-0000-00002C000000}"/>
    <cellStyle name="colheadleft" xfId="46" xr:uid="{00000000-0005-0000-0000-00002D000000}"/>
    <cellStyle name="colheadright" xfId="47" xr:uid="{00000000-0005-0000-0000-00002E000000}"/>
    <cellStyle name="Comma 2" xfId="48" xr:uid="{00000000-0005-0000-0000-00002F000000}"/>
    <cellStyle name="Comma0" xfId="49" xr:uid="{00000000-0005-0000-0000-000030000000}"/>
    <cellStyle name="Comma2" xfId="50" xr:uid="{00000000-0005-0000-0000-000031000000}"/>
    <cellStyle name="Company" xfId="51" xr:uid="{00000000-0005-0000-0000-000032000000}"/>
    <cellStyle name="CurRatio" xfId="52" xr:uid="{00000000-0005-0000-0000-000033000000}"/>
    <cellStyle name="Currency [1]" xfId="53" xr:uid="{00000000-0005-0000-0000-000034000000}"/>
    <cellStyle name="Currency [2]" xfId="54" xr:uid="{00000000-0005-0000-0000-000035000000}"/>
    <cellStyle name="Currency0" xfId="55" xr:uid="{00000000-0005-0000-0000-000036000000}"/>
    <cellStyle name="Currency2" xfId="56" xr:uid="{00000000-0005-0000-0000-000037000000}"/>
    <cellStyle name="d_yield" xfId="57" xr:uid="{00000000-0005-0000-0000-000038000000}"/>
    <cellStyle name="d_yield_CW's MAKER MODEL" xfId="58" xr:uid="{00000000-0005-0000-0000-000039000000}"/>
    <cellStyle name="d_yield_valuation" xfId="59" xr:uid="{00000000-0005-0000-0000-00003A000000}"/>
    <cellStyle name="Date [d-mmm-yy]" xfId="60" xr:uid="{00000000-0005-0000-0000-00003B000000}"/>
    <cellStyle name="Date [mmm-d-yyyy]" xfId="61" xr:uid="{00000000-0005-0000-0000-00003C000000}"/>
    <cellStyle name="Date [mmm-yyyy]" xfId="62" xr:uid="{00000000-0005-0000-0000-00003D000000}"/>
    <cellStyle name="Dates" xfId="63" xr:uid="{00000000-0005-0000-0000-00003E000000}"/>
    <cellStyle name="DateYear" xfId="64" xr:uid="{00000000-0005-0000-0000-00003F000000}"/>
    <cellStyle name="Dezimal_Capital expenditure planning FY 2000" xfId="65" xr:uid="{00000000-0005-0000-0000-000040000000}"/>
    <cellStyle name="Dollar" xfId="66" xr:uid="{00000000-0005-0000-0000-000041000000}"/>
    <cellStyle name="Dollars" xfId="67" xr:uid="{00000000-0005-0000-0000-000042000000}"/>
    <cellStyle name="DollarWhole" xfId="68" xr:uid="{00000000-0005-0000-0000-000043000000}"/>
    <cellStyle name="eps" xfId="69" xr:uid="{00000000-0005-0000-0000-000044000000}"/>
    <cellStyle name="eps$" xfId="70" xr:uid="{00000000-0005-0000-0000-000045000000}"/>
    <cellStyle name="eps$A" xfId="71" xr:uid="{00000000-0005-0000-0000-000046000000}"/>
    <cellStyle name="eps$E" xfId="72" xr:uid="{00000000-0005-0000-0000-000047000000}"/>
    <cellStyle name="eps_CW's MAKER MODEL" xfId="73" xr:uid="{00000000-0005-0000-0000-000048000000}"/>
    <cellStyle name="epsA" xfId="74" xr:uid="{00000000-0005-0000-0000-000049000000}"/>
    <cellStyle name="EPSActual" xfId="75" xr:uid="{00000000-0005-0000-0000-00004A000000}"/>
    <cellStyle name="epsE" xfId="76" xr:uid="{00000000-0005-0000-0000-00004B000000}"/>
    <cellStyle name="EPSEstimate" xfId="77" xr:uid="{00000000-0005-0000-0000-00004C000000}"/>
    <cellStyle name="Euro" xfId="78" xr:uid="{00000000-0005-0000-0000-00004D000000}"/>
    <cellStyle name="Explanatory Text 2" xfId="79" xr:uid="{00000000-0005-0000-0000-00004E000000}"/>
    <cellStyle name="fy_eps$" xfId="80" xr:uid="{00000000-0005-0000-0000-00004F000000}"/>
    <cellStyle name="g_rate" xfId="81" xr:uid="{00000000-0005-0000-0000-000050000000}"/>
    <cellStyle name="g_rate_CW's MAKER MODEL" xfId="82" xr:uid="{00000000-0005-0000-0000-000051000000}"/>
    <cellStyle name="g_rate_valuation" xfId="83" xr:uid="{00000000-0005-0000-0000-000052000000}"/>
    <cellStyle name="General" xfId="84" xr:uid="{00000000-0005-0000-0000-000053000000}"/>
    <cellStyle name="Good 2" xfId="85" xr:uid="{00000000-0005-0000-0000-000054000000}"/>
    <cellStyle name="GrowthRate" xfId="86" xr:uid="{00000000-0005-0000-0000-000055000000}"/>
    <cellStyle name="GrowthSeq" xfId="87" xr:uid="{00000000-0005-0000-0000-000056000000}"/>
    <cellStyle name="Hard Number Input" xfId="88" xr:uid="{00000000-0005-0000-0000-000057000000}"/>
    <cellStyle name="Heading 1 2" xfId="89" xr:uid="{00000000-0005-0000-0000-000058000000}"/>
    <cellStyle name="Heading 2 2" xfId="90" xr:uid="{00000000-0005-0000-0000-000059000000}"/>
    <cellStyle name="Heading 3 2" xfId="91" xr:uid="{00000000-0005-0000-0000-00005A000000}"/>
    <cellStyle name="Heading 4 2" xfId="92" xr:uid="{00000000-0005-0000-0000-00005B000000}"/>
    <cellStyle name="Historical Number" xfId="93" xr:uid="{00000000-0005-0000-0000-00005C000000}"/>
    <cellStyle name="iemens" xfId="94" xr:uid="{00000000-0005-0000-0000-00005D000000}"/>
    <cellStyle name="Income" xfId="95" xr:uid="{00000000-0005-0000-0000-00005E000000}"/>
    <cellStyle name="IncomeStatement" xfId="96" xr:uid="{00000000-0005-0000-0000-00005F000000}"/>
    <cellStyle name="Input 2" xfId="97" xr:uid="{00000000-0005-0000-0000-000060000000}"/>
    <cellStyle name="Input Fixed [0]" xfId="98" xr:uid="{00000000-0005-0000-0000-000061000000}"/>
    <cellStyle name="Integer" xfId="99" xr:uid="{00000000-0005-0000-0000-000062000000}"/>
    <cellStyle name="Inverse Header" xfId="100" xr:uid="{00000000-0005-0000-0000-000063000000}"/>
    <cellStyle name="Item" xfId="101" xr:uid="{00000000-0005-0000-0000-000064000000}"/>
    <cellStyle name="ItemTypeClass" xfId="102" xr:uid="{00000000-0005-0000-0000-000065000000}"/>
    <cellStyle name="Linked Cell 2" xfId="103" xr:uid="{00000000-0005-0000-0000-000066000000}"/>
    <cellStyle name="LTGR" xfId="104" xr:uid="{00000000-0005-0000-0000-000067000000}"/>
    <cellStyle name="m" xfId="105" xr:uid="{00000000-0005-0000-0000-000068000000}"/>
    <cellStyle name="m$" xfId="106" xr:uid="{00000000-0005-0000-0000-000069000000}"/>
    <cellStyle name="m_CW's MAKER MODEL" xfId="107" xr:uid="{00000000-0005-0000-0000-00006A000000}"/>
    <cellStyle name="m_valuation" xfId="108" xr:uid="{00000000-0005-0000-0000-00006B000000}"/>
    <cellStyle name="Margin" xfId="109" xr:uid="{00000000-0005-0000-0000-00006C000000}"/>
    <cellStyle name="Margins" xfId="110" xr:uid="{00000000-0005-0000-0000-00006D000000}"/>
    <cellStyle name="mm" xfId="111" xr:uid="{00000000-0005-0000-0000-00006E000000}"/>
    <cellStyle name="Multiple" xfId="112" xr:uid="{00000000-0005-0000-0000-00006F000000}"/>
    <cellStyle name="NA is zero" xfId="113" xr:uid="{00000000-0005-0000-0000-000070000000}"/>
    <cellStyle name="Neutral 2" xfId="114" xr:uid="{00000000-0005-0000-0000-000071000000}"/>
    <cellStyle name="Normal" xfId="0" builtinId="0"/>
    <cellStyle name="Normal [0]" xfId="115" xr:uid="{00000000-0005-0000-0000-000073000000}"/>
    <cellStyle name="Normal [1]" xfId="116" xr:uid="{00000000-0005-0000-0000-000074000000}"/>
    <cellStyle name="Normal [2]" xfId="117" xr:uid="{00000000-0005-0000-0000-000075000000}"/>
    <cellStyle name="Normal [3]" xfId="118" xr:uid="{00000000-0005-0000-0000-000076000000}"/>
    <cellStyle name="Normal 2" xfId="119" xr:uid="{00000000-0005-0000-0000-000077000000}"/>
    <cellStyle name="Normal Bold" xfId="120" xr:uid="{00000000-0005-0000-0000-000078000000}"/>
    <cellStyle name="Normal Pct" xfId="121" xr:uid="{00000000-0005-0000-0000-000079000000}"/>
    <cellStyle name="NormalX" xfId="122" xr:uid="{00000000-0005-0000-0000-00007A000000}"/>
    <cellStyle name="Note 2" xfId="123" xr:uid="{00000000-0005-0000-0000-00007B000000}"/>
    <cellStyle name="NPPESalesPct" xfId="124" xr:uid="{00000000-0005-0000-0000-00007C000000}"/>
    <cellStyle name="Number" xfId="125" xr:uid="{00000000-0005-0000-0000-00007D000000}"/>
    <cellStyle name="NWI%S" xfId="126" xr:uid="{00000000-0005-0000-0000-00007E000000}"/>
    <cellStyle name="Output 2" xfId="127" xr:uid="{00000000-0005-0000-0000-00007F000000}"/>
    <cellStyle name="P/E" xfId="128" xr:uid="{00000000-0005-0000-0000-000080000000}"/>
    <cellStyle name="Palatino" xfId="129" xr:uid="{00000000-0005-0000-0000-000081000000}"/>
    <cellStyle name="pc1" xfId="130" xr:uid="{00000000-0005-0000-0000-000082000000}"/>
    <cellStyle name="pe" xfId="131" xr:uid="{00000000-0005-0000-0000-000083000000}"/>
    <cellStyle name="PE/LTGR" xfId="132" xr:uid="{00000000-0005-0000-0000-000084000000}"/>
    <cellStyle name="PEG" xfId="133" xr:uid="{00000000-0005-0000-0000-000085000000}"/>
    <cellStyle name="Percent [0]" xfId="134" xr:uid="{00000000-0005-0000-0000-000086000000}"/>
    <cellStyle name="Percent [1]" xfId="135" xr:uid="{00000000-0005-0000-0000-000087000000}"/>
    <cellStyle name="Percent [2]" xfId="136" xr:uid="{00000000-0005-0000-0000-000088000000}"/>
    <cellStyle name="PercentChange" xfId="137" xr:uid="{00000000-0005-0000-0000-000089000000}"/>
    <cellStyle name="PercentPresentation" xfId="138" xr:uid="{00000000-0005-0000-0000-00008A000000}"/>
    <cellStyle name="PerShare" xfId="139" xr:uid="{00000000-0005-0000-0000-00008B000000}"/>
    <cellStyle name="POPS" xfId="140" xr:uid="{00000000-0005-0000-0000-00008C000000}"/>
    <cellStyle name="Presentation" xfId="141" xr:uid="{00000000-0005-0000-0000-00008D000000}"/>
    <cellStyle name="PresentationZero" xfId="142" xr:uid="{00000000-0005-0000-0000-00008E000000}"/>
    <cellStyle name="price" xfId="143" xr:uid="{00000000-0005-0000-0000-00008F000000}"/>
    <cellStyle name="q" xfId="144" xr:uid="{00000000-0005-0000-0000-000090000000}"/>
    <cellStyle name="q_CW's MAKER MODEL" xfId="145" xr:uid="{00000000-0005-0000-0000-000091000000}"/>
    <cellStyle name="QEPS-h" xfId="146" xr:uid="{00000000-0005-0000-0000-000092000000}"/>
    <cellStyle name="QEPS-H1" xfId="147" xr:uid="{00000000-0005-0000-0000-000093000000}"/>
    <cellStyle name="qRange" xfId="148" xr:uid="{00000000-0005-0000-0000-000094000000}"/>
    <cellStyle name="range" xfId="149" xr:uid="{00000000-0005-0000-0000-000095000000}"/>
    <cellStyle name="RatioX" xfId="150" xr:uid="{00000000-0005-0000-0000-000096000000}"/>
    <cellStyle name="Report" xfId="151" xr:uid="{00000000-0005-0000-0000-000097000000}"/>
    <cellStyle name="Right" xfId="152" xr:uid="{00000000-0005-0000-0000-000098000000}"/>
    <cellStyle name="SectionHeading" xfId="153" xr:uid="{00000000-0005-0000-0000-000099000000}"/>
    <cellStyle name="Shares" xfId="154" xr:uid="{00000000-0005-0000-0000-00009A000000}"/>
    <cellStyle name="StockPrice" xfId="155" xr:uid="{00000000-0005-0000-0000-00009B000000}"/>
    <cellStyle name="Style 1" xfId="156" xr:uid="{00000000-0005-0000-0000-00009C000000}"/>
    <cellStyle name="Style 21" xfId="157" xr:uid="{00000000-0005-0000-0000-00009D000000}"/>
    <cellStyle name="Style 22" xfId="158" xr:uid="{00000000-0005-0000-0000-00009E000000}"/>
    <cellStyle name="Style 23" xfId="159" xr:uid="{00000000-0005-0000-0000-00009F000000}"/>
    <cellStyle name="Style 24" xfId="160" xr:uid="{00000000-0005-0000-0000-0000A0000000}"/>
    <cellStyle name="Style 26" xfId="161" xr:uid="{00000000-0005-0000-0000-0000A1000000}"/>
    <cellStyle name="Style 27" xfId="162" xr:uid="{00000000-0005-0000-0000-0000A2000000}"/>
    <cellStyle name="Style 34" xfId="163" xr:uid="{00000000-0005-0000-0000-0000A3000000}"/>
    <cellStyle name="Style 37" xfId="164" xr:uid="{00000000-0005-0000-0000-0000A4000000}"/>
    <cellStyle name="Style 63" xfId="165" xr:uid="{00000000-0005-0000-0000-0000A5000000}"/>
    <cellStyle name="SubDollar" xfId="166" xr:uid="{00000000-0005-0000-0000-0000A6000000}"/>
    <cellStyle name="SubGrowth" xfId="167" xr:uid="{00000000-0005-0000-0000-0000A7000000}"/>
    <cellStyle name="SubGrowthRate" xfId="168" xr:uid="{00000000-0005-0000-0000-0000A8000000}"/>
    <cellStyle name="SubMargins" xfId="169" xr:uid="{00000000-0005-0000-0000-0000A9000000}"/>
    <cellStyle name="SubPenetration" xfId="170" xr:uid="{00000000-0005-0000-0000-0000AA000000}"/>
    <cellStyle name="Subscribers" xfId="171" xr:uid="{00000000-0005-0000-0000-0000AB000000}"/>
    <cellStyle name="SubVariable" xfId="172" xr:uid="{00000000-0005-0000-0000-0000AC000000}"/>
    <cellStyle name="tcn" xfId="173" xr:uid="{00000000-0005-0000-0000-0000AD000000}"/>
    <cellStyle name="Times [1]" xfId="174" xr:uid="{00000000-0005-0000-0000-0000AE000000}"/>
    <cellStyle name="Times [2]" xfId="175" xr:uid="{00000000-0005-0000-0000-0000AF000000}"/>
    <cellStyle name="Title 2" xfId="176" xr:uid="{00000000-0005-0000-0000-0000B0000000}"/>
    <cellStyle name="title2" xfId="177" xr:uid="{00000000-0005-0000-0000-0000B1000000}"/>
    <cellStyle name="TitleII" xfId="178" xr:uid="{00000000-0005-0000-0000-0000B2000000}"/>
    <cellStyle name="Titles" xfId="179" xr:uid="{00000000-0005-0000-0000-0000B3000000}"/>
    <cellStyle name="TitleSub" xfId="180" xr:uid="{00000000-0005-0000-0000-0000B4000000}"/>
    <cellStyle name="tn" xfId="181" xr:uid="{00000000-0005-0000-0000-0000B5000000}"/>
    <cellStyle name="Total 2" xfId="182" xr:uid="{00000000-0005-0000-0000-0000B6000000}"/>
    <cellStyle name="Warning Text 2" xfId="183" xr:uid="{00000000-0005-0000-0000-0000B7000000}"/>
    <cellStyle name="WholeNumber" xfId="184" xr:uid="{00000000-0005-0000-0000-0000B8000000}"/>
    <cellStyle name="Year&quot;E&quot;" xfId="185" xr:uid="{00000000-0005-0000-0000-0000B9000000}"/>
  </cellStyles>
  <dxfs count="0"/>
  <tableStyles count="0" defaultTableStyle="TableStyleMedium2" defaultPivotStyle="PivotStyleLight16"/>
  <colors>
    <mruColors>
      <color rgb="FF008000"/>
      <color rgb="FF0000FF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Rar$DI00.921/Valuation_2010_Mode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kumar.WSP/Downloads/DataSet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 Data"/>
      <sheetName val="Forecast Drivers"/>
      <sheetName val="Results"/>
      <sheetName val="Valuation Summary"/>
    </sheetNames>
    <sheetDataSet>
      <sheetData sheetId="0" refreshError="1"/>
      <sheetData sheetId="1"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330">
          <cell r="D330">
            <v>1</v>
          </cell>
        </row>
      </sheetData>
      <sheetData sheetId="2">
        <row r="142">
          <cell r="F142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_ans"/>
      <sheetName val="Circ"/>
      <sheetName val="Reg 0"/>
      <sheetName val="Reg_ans"/>
      <sheetName val="CF"/>
      <sheetName val="CF_ans"/>
      <sheetName val="BoostToolkitClipBoard2010"/>
      <sheetName val="DS0"/>
      <sheetName val="DS0_ans"/>
      <sheetName val="Data Set1"/>
      <sheetName val="DataSet2"/>
      <sheetName val="DataSet3"/>
      <sheetName val="Other"/>
      <sheetName val="DataSet4"/>
      <sheetName val="Array0"/>
      <sheetName val="Array1"/>
      <sheetName val="Array2"/>
      <sheetName val="Array3"/>
      <sheetName val="Array4"/>
      <sheetName val="Array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iPad</v>
          </cell>
          <cell r="C5">
            <v>500</v>
          </cell>
        </row>
        <row r="6">
          <cell r="B6" t="str">
            <v>iPod</v>
          </cell>
          <cell r="C6">
            <v>200</v>
          </cell>
        </row>
        <row r="7">
          <cell r="B7" t="str">
            <v>iPhone</v>
          </cell>
          <cell r="C7">
            <v>400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workbookViewId="0"/>
  </sheetViews>
  <sheetFormatPr defaultRowHeight="14.4"/>
  <sheetData>
    <row r="1" spans="1:1">
      <c r="A1">
        <v>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867"/>
  <sheetViews>
    <sheetView tabSelected="1" workbookViewId="0">
      <selection activeCell="A2" sqref="A2"/>
    </sheetView>
  </sheetViews>
  <sheetFormatPr defaultRowHeight="14.4" customHeight="1"/>
  <cols>
    <col min="1" max="1" width="7.44140625" customWidth="1"/>
    <col min="2" max="2" width="9.109375" customWidth="1"/>
    <col min="3" max="3" width="10" customWidth="1"/>
    <col min="4" max="15" width="9.109375" customWidth="1"/>
    <col min="16" max="16" width="10" customWidth="1"/>
    <col min="17" max="20" width="9.109375" customWidth="1"/>
    <col min="21" max="21" width="1.5546875" customWidth="1"/>
    <col min="22" max="22" width="1" customWidth="1"/>
    <col min="23" max="29" width="9.109375" customWidth="1"/>
  </cols>
  <sheetData>
    <row r="1" spans="1:42" ht="14.4" customHeight="1">
      <c r="A1" s="29" t="s">
        <v>126</v>
      </c>
      <c r="B1" s="29"/>
      <c r="C1" s="27"/>
      <c r="D1" s="27"/>
      <c r="E1" s="27"/>
      <c r="F1" s="27"/>
      <c r="G1" s="27"/>
      <c r="H1" s="28" t="s">
        <v>95</v>
      </c>
      <c r="I1" s="28"/>
      <c r="J1" s="27"/>
      <c r="K1" s="27"/>
      <c r="L1" s="27"/>
      <c r="M1" s="27"/>
      <c r="N1" s="29"/>
      <c r="O1" s="29" t="s">
        <v>96</v>
      </c>
      <c r="P1" s="27"/>
      <c r="Q1" s="27"/>
      <c r="R1" s="27"/>
      <c r="S1" s="27"/>
      <c r="T1" s="27"/>
      <c r="U1" s="30"/>
      <c r="V1" s="30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 ht="14.4" customHeight="1">
      <c r="A2" s="1" t="s">
        <v>94</v>
      </c>
      <c r="B2" s="1"/>
      <c r="U2" s="30"/>
      <c r="V2" s="30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42" ht="14.4" customHeight="1">
      <c r="U3" s="30"/>
      <c r="V3" s="30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</row>
    <row r="4" spans="1:42" ht="14.4" customHeight="1">
      <c r="U4" s="30"/>
      <c r="V4" s="30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</row>
    <row r="5" spans="1:42" ht="14.4" customHeight="1">
      <c r="U5" s="30"/>
      <c r="V5" s="30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spans="1:42" ht="14.4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0"/>
      <c r="V6" s="30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:42" ht="14.4" customHeight="1">
      <c r="T7" s="35"/>
      <c r="U7" s="31"/>
      <c r="V7" s="30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</row>
    <row r="8" spans="1:42" ht="14.4" customHeight="1">
      <c r="B8" s="15"/>
      <c r="C8" s="15"/>
      <c r="F8" s="22" t="s">
        <v>23</v>
      </c>
      <c r="G8" s="23"/>
      <c r="H8" s="23"/>
      <c r="I8" s="23"/>
      <c r="K8" s="22" t="s">
        <v>83</v>
      </c>
      <c r="L8" s="23"/>
      <c r="M8" s="23"/>
      <c r="N8" s="23"/>
      <c r="P8" s="22" t="s">
        <v>84</v>
      </c>
      <c r="Q8" s="23"/>
      <c r="R8" s="23"/>
      <c r="S8" s="23"/>
      <c r="T8" s="35"/>
      <c r="U8" s="31"/>
      <c r="V8" s="30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ht="14.4" customHeight="1" thickBot="1">
      <c r="B9" s="24" t="s">
        <v>1</v>
      </c>
      <c r="C9" s="16" t="s">
        <v>72</v>
      </c>
      <c r="D9" s="16" t="s">
        <v>69</v>
      </c>
      <c r="E9" s="16"/>
      <c r="F9" s="16" t="s">
        <v>76</v>
      </c>
      <c r="G9" s="16" t="s">
        <v>12</v>
      </c>
      <c r="H9" s="16" t="s">
        <v>11</v>
      </c>
      <c r="I9" s="16" t="s">
        <v>14</v>
      </c>
      <c r="J9" s="16"/>
      <c r="K9" s="16" t="s">
        <v>76</v>
      </c>
      <c r="L9" s="16" t="s">
        <v>12</v>
      </c>
      <c r="M9" s="16" t="s">
        <v>11</v>
      </c>
      <c r="N9" s="16" t="s">
        <v>14</v>
      </c>
      <c r="O9" s="16"/>
      <c r="P9" s="16" t="s">
        <v>76</v>
      </c>
      <c r="Q9" s="16" t="s">
        <v>12</v>
      </c>
      <c r="R9" s="16" t="s">
        <v>11</v>
      </c>
      <c r="S9" s="16" t="s">
        <v>14</v>
      </c>
      <c r="T9" s="36" t="s">
        <v>81</v>
      </c>
      <c r="U9" s="31"/>
      <c r="V9" s="30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</row>
    <row r="10" spans="1:42" ht="14.4" customHeight="1">
      <c r="T10" s="35"/>
      <c r="U10" s="31"/>
      <c r="V10" s="30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spans="1:42" ht="14.4" customHeight="1">
      <c r="B11" s="17" t="str">
        <f>Inputs!E$8</f>
        <v>PEP</v>
      </c>
      <c r="C11" s="9">
        <f>Inputs!E19*Inputs!E11</f>
        <v>201711.4</v>
      </c>
      <c r="D11" s="9">
        <f>Inputs!E135+Inputs!E127</f>
        <v>241929.4</v>
      </c>
      <c r="E11" s="9"/>
      <c r="F11" s="9">
        <f>Inputs!E25+Inputs!E43-Inputs!E61</f>
        <v>93064</v>
      </c>
      <c r="G11" s="11">
        <f>Inputs!E40+Inputs!E58-Inputs!E76</f>
        <v>18042</v>
      </c>
      <c r="H11" s="11">
        <f>Inputs!E30+Inputs!E48-Inputs!E66</f>
        <v>15227</v>
      </c>
      <c r="I11" s="18">
        <f>Inputs!E37+Inputs!E55-Inputs!E73</f>
        <v>7.93</v>
      </c>
      <c r="K11" s="9">
        <f>Inputs!E99</f>
        <v>98280</v>
      </c>
      <c r="L11" s="9">
        <f>Inputs!E100</f>
        <v>16850</v>
      </c>
      <c r="M11" s="9">
        <f>Inputs!E101</f>
        <v>13970</v>
      </c>
      <c r="N11" s="18">
        <f>Inputs!E102</f>
        <v>8.75</v>
      </c>
      <c r="P11" s="9">
        <f>Inputs!E108</f>
        <v>102150</v>
      </c>
      <c r="Q11" s="9">
        <f>Inputs!E109</f>
        <v>17920</v>
      </c>
      <c r="R11" s="9">
        <f>Inputs!E110</f>
        <v>14940</v>
      </c>
      <c r="S11" s="18">
        <f>Inputs!E111</f>
        <v>9.65</v>
      </c>
      <c r="T11" s="37">
        <f>Inputs!E116</f>
        <v>5.7000000000000002E-2</v>
      </c>
      <c r="U11" s="31"/>
      <c r="V11" s="30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spans="1:42" ht="14.4" customHeight="1">
      <c r="B12" s="17" t="str">
        <f>Inputs!F$8</f>
        <v>KDP</v>
      </c>
      <c r="C12" s="9">
        <f>Inputs!F19*Inputs!F11</f>
        <v>38032.799999999996</v>
      </c>
      <c r="D12" s="9">
        <f>Inputs!F135+Inputs!F127</f>
        <v>53478.799999999996</v>
      </c>
      <c r="E12" s="9"/>
      <c r="F12" s="9">
        <f>Inputs!F25+Inputs!F43-Inputs!F61</f>
        <v>15500</v>
      </c>
      <c r="G12" s="11">
        <f>Inputs!F40+Inputs!F58-Inputs!F76</f>
        <v>3738</v>
      </c>
      <c r="H12" s="11">
        <f>Inputs!F30+Inputs!F48-Inputs!F66</f>
        <v>2681</v>
      </c>
      <c r="I12" s="18">
        <f>Inputs!F37+Inputs!F55-Inputs!F73</f>
        <v>1.1400000000000001</v>
      </c>
      <c r="K12" s="9">
        <f>Inputs!F99</f>
        <v>16425</v>
      </c>
      <c r="L12" s="9">
        <f>Inputs!F100</f>
        <v>4010</v>
      </c>
      <c r="M12" s="9">
        <f>Inputs!F101</f>
        <v>2950</v>
      </c>
      <c r="N12" s="18">
        <f>Inputs!F102</f>
        <v>2.25</v>
      </c>
      <c r="P12" s="9">
        <f>Inputs!F108</f>
        <v>17110</v>
      </c>
      <c r="Q12" s="9">
        <f>Inputs!F109</f>
        <v>4245</v>
      </c>
      <c r="R12" s="9">
        <f>Inputs!F110</f>
        <v>3150</v>
      </c>
      <c r="S12" s="18">
        <f>Inputs!F111</f>
        <v>2.48</v>
      </c>
      <c r="T12" s="37">
        <f>Inputs!F116</f>
        <v>4.2000000000000003E-2</v>
      </c>
      <c r="U12" s="31"/>
      <c r="V12" s="30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spans="1:42" ht="14.4" customHeight="1">
      <c r="B13" s="17" t="str">
        <f>Inputs!G$8</f>
        <v>MNST</v>
      </c>
      <c r="C13" s="9">
        <f>Inputs!G19*Inputs!G11</f>
        <v>81081</v>
      </c>
      <c r="D13" s="9">
        <f>Inputs!G135+Inputs!G127</f>
        <v>78091</v>
      </c>
      <c r="E13" s="9"/>
      <c r="F13" s="9">
        <f>Inputs!G25+Inputs!G43-Inputs!G61</f>
        <v>7583</v>
      </c>
      <c r="G13" s="11">
        <f>Inputs!G40+Inputs!G58-Inputs!G76</f>
        <v>2083</v>
      </c>
      <c r="H13" s="11">
        <f>Inputs!G30+Inputs!G48-Inputs!G66</f>
        <v>1976</v>
      </c>
      <c r="I13" s="18">
        <f>Inputs!G37+Inputs!G55-Inputs!G73</f>
        <v>1.52</v>
      </c>
      <c r="K13" s="9">
        <f>Inputs!G99</f>
        <v>8610</v>
      </c>
      <c r="L13" s="9">
        <f>Inputs!G100</f>
        <v>2410</v>
      </c>
      <c r="M13" s="9">
        <f>Inputs!G101</f>
        <v>2240</v>
      </c>
      <c r="N13" s="18">
        <f>Inputs!G102</f>
        <v>1.85</v>
      </c>
      <c r="P13" s="9">
        <f>Inputs!G108</f>
        <v>9340</v>
      </c>
      <c r="Q13" s="9">
        <f>Inputs!G109</f>
        <v>2695</v>
      </c>
      <c r="R13" s="9">
        <f>Inputs!G110</f>
        <v>2510</v>
      </c>
      <c r="S13" s="18">
        <f>Inputs!G111</f>
        <v>2.0499999999999998</v>
      </c>
      <c r="T13" s="37">
        <f>Inputs!G116</f>
        <v>0.16800000000000001</v>
      </c>
      <c r="U13" s="31"/>
      <c r="V13" s="30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spans="1:42" ht="14.4" customHeight="1">
      <c r="B14" s="17" t="str">
        <f>Inputs!H$8</f>
        <v>CELH</v>
      </c>
      <c r="C14" s="9">
        <f>Inputs!H19*Inputs!H11</f>
        <v>16238.352000000001</v>
      </c>
      <c r="D14" s="9">
        <f>Inputs!H135+Inputs!H127</f>
        <v>17155.252</v>
      </c>
      <c r="E14" s="9"/>
      <c r="F14" s="9">
        <f>Inputs!H25+Inputs!H43-Inputs!H61</f>
        <v>1342</v>
      </c>
      <c r="G14" s="11">
        <f>Inputs!H40+Inputs!H58-Inputs!H76</f>
        <v>-46</v>
      </c>
      <c r="H14" s="11">
        <f>Inputs!H30+Inputs!H48-Inputs!H66</f>
        <v>-79</v>
      </c>
      <c r="I14" s="18">
        <f>Inputs!H37+Inputs!H55-Inputs!H73</f>
        <v>0.35999999999999993</v>
      </c>
      <c r="K14" s="9">
        <f>Inputs!H99</f>
        <v>3610</v>
      </c>
      <c r="L14" s="9">
        <f>Inputs!H100</f>
        <v>485</v>
      </c>
      <c r="M14" s="9">
        <f>Inputs!H101</f>
        <v>395</v>
      </c>
      <c r="N14" s="18">
        <f>Inputs!H102</f>
        <v>1.1499999999999999</v>
      </c>
      <c r="P14" s="9">
        <f>Inputs!H108</f>
        <v>4080</v>
      </c>
      <c r="Q14" s="9">
        <f>Inputs!H109</f>
        <v>610</v>
      </c>
      <c r="R14" s="9">
        <f>Inputs!H110</f>
        <v>520</v>
      </c>
      <c r="S14" s="18">
        <f>Inputs!H111</f>
        <v>1.95</v>
      </c>
      <c r="T14" s="37">
        <f>Inputs!H116</f>
        <v>0.36199999999999999</v>
      </c>
      <c r="U14" s="31"/>
      <c r="V14" s="30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spans="1:42" ht="14.4" customHeight="1">
      <c r="B15" s="17"/>
      <c r="C15" s="4"/>
      <c r="F15" s="9"/>
      <c r="G15" s="11"/>
      <c r="H15" s="11"/>
      <c r="I15" s="18"/>
      <c r="K15" s="9"/>
      <c r="L15" s="9"/>
      <c r="M15" s="9"/>
      <c r="N15" s="18"/>
      <c r="P15" s="9"/>
      <c r="Q15" s="9"/>
      <c r="R15" s="9"/>
      <c r="S15" s="18"/>
      <c r="T15" s="37"/>
      <c r="U15" s="31"/>
      <c r="V15" s="30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</row>
    <row r="16" spans="1:42" ht="14.4" customHeight="1">
      <c r="F16" s="22" t="s">
        <v>23</v>
      </c>
      <c r="G16" s="23"/>
      <c r="H16" s="23"/>
      <c r="I16" s="23"/>
      <c r="K16" s="22" t="s">
        <v>83</v>
      </c>
      <c r="L16" s="23"/>
      <c r="M16" s="23"/>
      <c r="N16" s="23"/>
      <c r="P16" s="22" t="s">
        <v>84</v>
      </c>
      <c r="Q16" s="23"/>
      <c r="R16" s="23"/>
      <c r="S16" s="23"/>
      <c r="T16" s="35"/>
      <c r="U16" s="31"/>
      <c r="V16" s="30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spans="2:49" ht="14.4" customHeight="1" thickBot="1">
      <c r="B17" s="24" t="s">
        <v>1</v>
      </c>
      <c r="C17" s="7"/>
      <c r="D17" s="8"/>
      <c r="E17" s="5"/>
      <c r="F17" s="16" t="s">
        <v>77</v>
      </c>
      <c r="G17" s="16" t="s">
        <v>78</v>
      </c>
      <c r="H17" s="16" t="s">
        <v>79</v>
      </c>
      <c r="I17" s="16" t="s">
        <v>80</v>
      </c>
      <c r="J17" s="16"/>
      <c r="K17" s="16" t="s">
        <v>77</v>
      </c>
      <c r="L17" s="16" t="s">
        <v>78</v>
      </c>
      <c r="M17" s="16" t="s">
        <v>79</v>
      </c>
      <c r="N17" s="16" t="s">
        <v>31</v>
      </c>
      <c r="O17" s="16"/>
      <c r="P17" s="16" t="s">
        <v>77</v>
      </c>
      <c r="Q17" s="16" t="s">
        <v>78</v>
      </c>
      <c r="R17" s="16" t="s">
        <v>79</v>
      </c>
      <c r="S17" s="16" t="s">
        <v>80</v>
      </c>
      <c r="T17" s="36" t="s">
        <v>82</v>
      </c>
      <c r="U17" s="31"/>
      <c r="V17" s="30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spans="2:49" ht="14.4" customHeight="1">
      <c r="T18" s="35"/>
      <c r="U18" s="31"/>
      <c r="V18" s="30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spans="2:49" ht="14.4" customHeight="1">
      <c r="B19" s="17" t="str">
        <f>Inputs!E$8</f>
        <v>PEP</v>
      </c>
      <c r="F19" s="14">
        <f>Inputs!E138/Inputs!E81</f>
        <v>2.5996024241382272</v>
      </c>
      <c r="G19" s="14">
        <f>Inputs!E138/Inputs!E82</f>
        <v>13.409234009533311</v>
      </c>
      <c r="H19" s="14">
        <f>Inputs!E138/Inputs!E83</f>
        <v>15.888185460038089</v>
      </c>
      <c r="I19" s="14">
        <f>Inputs!E11/Inputs!E84</f>
        <v>18.365699873896595</v>
      </c>
      <c r="K19" s="15">
        <f>Inputs!E$138/Inputs!E99</f>
        <v>2.4616341066341065</v>
      </c>
      <c r="L19" s="15">
        <f>Inputs!E$138/Inputs!E100</f>
        <v>14.357827893175074</v>
      </c>
      <c r="M19" s="15">
        <f>Inputs!E$138/Inputs!E101</f>
        <v>17.317780959198281</v>
      </c>
      <c r="N19" s="15">
        <f>Inputs!E133/Inputs!E102</f>
        <v>16.644571428571428</v>
      </c>
      <c r="P19" s="15">
        <f>Inputs!E$138/Inputs!E108</f>
        <v>2.3683739598629465</v>
      </c>
      <c r="Q19" s="15">
        <f>Inputs!E$138/Inputs!E109</f>
        <v>13.500524553571429</v>
      </c>
      <c r="R19" s="15">
        <f>Inputs!E$138/Inputs!E110</f>
        <v>16.193400267737616</v>
      </c>
      <c r="S19" s="15">
        <f>Inputs!E133/Inputs!E111</f>
        <v>15.092227979274609</v>
      </c>
      <c r="T19" s="38">
        <f>Inputs!E151/(Inputs!E116*100)</f>
        <v>2.9201002506265663</v>
      </c>
      <c r="U19" s="31"/>
      <c r="V19" s="30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spans="2:49" ht="14.4" customHeight="1">
      <c r="B20" s="17" t="str">
        <f>Inputs!F$8</f>
        <v>KDP</v>
      </c>
      <c r="F20" s="14">
        <f>Inputs!F138/Inputs!F81</f>
        <v>3.4502451612903222</v>
      </c>
      <c r="G20" s="14">
        <f>Inputs!F138/Inputs!F82</f>
        <v>14.306795077581594</v>
      </c>
      <c r="H20" s="14">
        <f>Inputs!F138/Inputs!F83</f>
        <v>19.947333084669896</v>
      </c>
      <c r="I20" s="14">
        <f>Inputs!F11/Inputs!F84</f>
        <v>24.175438596491226</v>
      </c>
      <c r="K20" s="15">
        <f>Inputs!F$138/Inputs!F99</f>
        <v>3.2559391171993908</v>
      </c>
      <c r="L20" s="15">
        <f>Inputs!F$138/Inputs!F100</f>
        <v>13.336359102244389</v>
      </c>
      <c r="M20" s="15">
        <f>Inputs!F$138/Inputs!F101</f>
        <v>18.128406779661017</v>
      </c>
      <c r="N20" s="15">
        <f>Inputs!F133/Inputs!F102</f>
        <v>12.248888888888889</v>
      </c>
      <c r="P20" s="15">
        <f>Inputs!F$138/Inputs!F108</f>
        <v>3.1255873758036232</v>
      </c>
      <c r="Q20" s="15">
        <f>Inputs!F$138/Inputs!F109</f>
        <v>12.598068315665488</v>
      </c>
      <c r="R20" s="15">
        <f>Inputs!F$138/Inputs!F110</f>
        <v>16.977396825396823</v>
      </c>
      <c r="S20" s="15">
        <f>Inputs!F133/Inputs!F111</f>
        <v>11.112903225806452</v>
      </c>
      <c r="T20" s="38">
        <f>Inputs!F151/(Inputs!F116*100)</f>
        <v>2.9164021164021161</v>
      </c>
      <c r="U20" s="31"/>
      <c r="V20" s="30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</row>
    <row r="21" spans="2:49" ht="14.4" customHeight="1">
      <c r="B21" s="17" t="str">
        <f>Inputs!G$8</f>
        <v>MNST</v>
      </c>
      <c r="F21" s="14">
        <f>Inputs!G138/Inputs!G81</f>
        <v>10.298166952393512</v>
      </c>
      <c r="G21" s="14">
        <f>Inputs!G138/Inputs!G82</f>
        <v>37.489678348535769</v>
      </c>
      <c r="H21" s="14">
        <f>Inputs!G138/Inputs!G83</f>
        <v>39.51973684210526</v>
      </c>
      <c r="I21" s="14">
        <f>Inputs!G11/Inputs!G84</f>
        <v>53.881578947368425</v>
      </c>
      <c r="K21" s="15">
        <f>Inputs!G$138/Inputs!G99</f>
        <v>9.0698025551684083</v>
      </c>
      <c r="L21" s="15">
        <f>Inputs!G$138/Inputs!G100</f>
        <v>32.402904564315349</v>
      </c>
      <c r="M21" s="15">
        <f>Inputs!G$138/Inputs!G101</f>
        <v>34.862053571428568</v>
      </c>
      <c r="N21" s="15">
        <f>Inputs!G133/Inputs!G102</f>
        <v>44.270270270270274</v>
      </c>
      <c r="P21" s="15">
        <f>Inputs!G$138/Inputs!G108</f>
        <v>8.3609207708779447</v>
      </c>
      <c r="Q21" s="15">
        <f>Inputs!G$138/Inputs!G109</f>
        <v>28.976252319109463</v>
      </c>
      <c r="R21" s="15">
        <f>Inputs!G$138/Inputs!G110</f>
        <v>31.111952191235059</v>
      </c>
      <c r="S21" s="15">
        <f>Inputs!G133/Inputs!G111</f>
        <v>39.951219512195131</v>
      </c>
      <c r="T21" s="38">
        <f>Inputs!G151/(Inputs!G116*100)</f>
        <v>2.6351351351351351</v>
      </c>
      <c r="U21" s="31"/>
      <c r="V21" s="30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</row>
    <row r="22" spans="2:49" ht="14.4" customHeight="1">
      <c r="B22" s="17" t="str">
        <f>Inputs!H$8</f>
        <v>CELH</v>
      </c>
      <c r="F22" s="14">
        <f>Inputs!H138/Inputs!H81</f>
        <v>12.783347242921014</v>
      </c>
      <c r="G22" s="14">
        <f>Inputs!H138/Inputs!H82</f>
        <v>-372.94026086956524</v>
      </c>
      <c r="H22" s="14">
        <f>Inputs!H138/Inputs!H83</f>
        <v>-217.15508860759493</v>
      </c>
      <c r="I22" s="14">
        <f>Inputs!H11/Inputs!H84</f>
        <v>153.11111111111114</v>
      </c>
      <c r="K22" s="15">
        <f>Inputs!H$138/Inputs!H99</f>
        <v>4.7521473684210527</v>
      </c>
      <c r="L22" s="15">
        <f>Inputs!H$138/Inputs!H100</f>
        <v>35.371653608247421</v>
      </c>
      <c r="M22" s="15">
        <f>Inputs!H$138/Inputs!H101</f>
        <v>43.431017721518991</v>
      </c>
      <c r="N22" s="15">
        <f>Inputs!H133/Inputs!H102</f>
        <v>47.9304347826087</v>
      </c>
      <c r="P22" s="15">
        <f>Inputs!H$138/Inputs!H108</f>
        <v>4.2047186274509807</v>
      </c>
      <c r="Q22" s="15">
        <f>Inputs!H$138/Inputs!H109</f>
        <v>28.12336393442623</v>
      </c>
      <c r="R22" s="15">
        <f>Inputs!H$138/Inputs!H110</f>
        <v>32.990869230769235</v>
      </c>
      <c r="S22" s="15">
        <f>Inputs!H133/Inputs!H111</f>
        <v>28.266666666666666</v>
      </c>
      <c r="T22" s="38">
        <f>Inputs!H151/(Inputs!H116*100)</f>
        <v>1.324045159740572</v>
      </c>
      <c r="U22" s="31"/>
      <c r="V22" s="30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spans="2:49" ht="14.4" customHeight="1">
      <c r="T23" s="35"/>
      <c r="U23" s="31"/>
      <c r="V23" s="30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</row>
    <row r="24" spans="2:49" ht="14.4" customHeight="1">
      <c r="E24" s="20" t="s">
        <v>28</v>
      </c>
      <c r="F24" s="19">
        <f>MAX(F19:F22)</f>
        <v>12.783347242921014</v>
      </c>
      <c r="G24" s="19">
        <f t="shared" ref="G24:I24" si="0">MAX(G19:G22)</f>
        <v>37.489678348535769</v>
      </c>
      <c r="H24" s="19">
        <f t="shared" si="0"/>
        <v>39.51973684210526</v>
      </c>
      <c r="I24" s="19">
        <f t="shared" si="0"/>
        <v>153.11111111111114</v>
      </c>
      <c r="J24" s="19"/>
      <c r="K24" s="19">
        <f t="shared" ref="K24:N24" si="1">MAX(K19:K22)</f>
        <v>9.0698025551684083</v>
      </c>
      <c r="L24" s="19">
        <f t="shared" si="1"/>
        <v>35.371653608247421</v>
      </c>
      <c r="M24" s="19">
        <f t="shared" si="1"/>
        <v>43.431017721518991</v>
      </c>
      <c r="N24" s="19">
        <f t="shared" si="1"/>
        <v>47.9304347826087</v>
      </c>
      <c r="O24" s="19"/>
      <c r="P24" s="19">
        <f t="shared" ref="P24:T24" si="2">MAX(P19:P22)</f>
        <v>8.3609207708779447</v>
      </c>
      <c r="Q24" s="19">
        <f t="shared" si="2"/>
        <v>28.976252319109463</v>
      </c>
      <c r="R24" s="19">
        <f t="shared" si="2"/>
        <v>32.990869230769235</v>
      </c>
      <c r="S24" s="19">
        <f t="shared" si="2"/>
        <v>39.951219512195131</v>
      </c>
      <c r="T24" s="39">
        <f t="shared" si="2"/>
        <v>2.9201002506265663</v>
      </c>
      <c r="U24" s="31"/>
      <c r="V24" s="30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spans="2:49" ht="14.4" customHeight="1">
      <c r="E25" s="20" t="s">
        <v>29</v>
      </c>
      <c r="F25" s="19">
        <f>MIN(F19:F22)</f>
        <v>2.5996024241382272</v>
      </c>
      <c r="G25" s="19">
        <f t="shared" ref="G25:T25" si="3">MIN(G19:G22)</f>
        <v>-372.94026086956524</v>
      </c>
      <c r="H25" s="19">
        <f t="shared" si="3"/>
        <v>-217.15508860759493</v>
      </c>
      <c r="I25" s="19">
        <f t="shared" si="3"/>
        <v>18.365699873896595</v>
      </c>
      <c r="J25" s="19"/>
      <c r="K25" s="19">
        <f t="shared" si="3"/>
        <v>2.4616341066341065</v>
      </c>
      <c r="L25" s="19">
        <f t="shared" si="3"/>
        <v>13.336359102244389</v>
      </c>
      <c r="M25" s="19">
        <f t="shared" si="3"/>
        <v>17.317780959198281</v>
      </c>
      <c r="N25" s="19">
        <f t="shared" si="3"/>
        <v>12.248888888888889</v>
      </c>
      <c r="O25" s="19"/>
      <c r="P25" s="19">
        <f t="shared" si="3"/>
        <v>2.3683739598629465</v>
      </c>
      <c r="Q25" s="19">
        <f t="shared" si="3"/>
        <v>12.598068315665488</v>
      </c>
      <c r="R25" s="19">
        <f t="shared" si="3"/>
        <v>16.193400267737616</v>
      </c>
      <c r="S25" s="19">
        <f t="shared" si="3"/>
        <v>11.112903225806452</v>
      </c>
      <c r="T25" s="39">
        <f t="shared" si="3"/>
        <v>1.324045159740572</v>
      </c>
      <c r="U25" s="31"/>
      <c r="V25" s="30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spans="2:49" ht="14.4" customHeight="1">
      <c r="E26" s="20" t="s">
        <v>30</v>
      </c>
      <c r="F26" s="19">
        <f>MEDIAN(F19:F22)</f>
        <v>6.874206056841917</v>
      </c>
      <c r="G26" s="19">
        <f t="shared" ref="G26:T26" si="4">MEDIAN(G19:G22)</f>
        <v>13.858014543557452</v>
      </c>
      <c r="H26" s="19">
        <f t="shared" si="4"/>
        <v>17.917759272353994</v>
      </c>
      <c r="I26" s="19">
        <f t="shared" si="4"/>
        <v>39.028508771929822</v>
      </c>
      <c r="J26" s="19"/>
      <c r="K26" s="19">
        <f t="shared" si="4"/>
        <v>4.0040432428102219</v>
      </c>
      <c r="L26" s="19">
        <f t="shared" si="4"/>
        <v>23.38036622874521</v>
      </c>
      <c r="M26" s="19">
        <f t="shared" si="4"/>
        <v>26.495230175544791</v>
      </c>
      <c r="N26" s="19">
        <f t="shared" si="4"/>
        <v>30.457420849420849</v>
      </c>
      <c r="O26" s="19"/>
      <c r="P26" s="19">
        <f t="shared" si="4"/>
        <v>3.665153001627302</v>
      </c>
      <c r="Q26" s="19">
        <f t="shared" si="4"/>
        <v>20.81194424399883</v>
      </c>
      <c r="R26" s="19">
        <f t="shared" si="4"/>
        <v>24.044674508315943</v>
      </c>
      <c r="S26" s="19">
        <f t="shared" si="4"/>
        <v>21.679447322970638</v>
      </c>
      <c r="T26" s="39">
        <f t="shared" si="4"/>
        <v>2.7757686257686256</v>
      </c>
      <c r="U26" s="31"/>
      <c r="V26" s="30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</row>
    <row r="27" spans="2:49" ht="14.4" customHeight="1">
      <c r="E27" s="6" t="s">
        <v>27</v>
      </c>
      <c r="F27" s="21">
        <f>AVERAGE(F19:F22)</f>
        <v>7.2828404451857685</v>
      </c>
      <c r="G27" s="21">
        <f t="shared" ref="G27:T27" si="5">AVERAGE(G19:G22)</f>
        <v>-76.933638358478646</v>
      </c>
      <c r="H27" s="21">
        <f t="shared" si="5"/>
        <v>-35.449958305195423</v>
      </c>
      <c r="I27" s="21">
        <f t="shared" si="5"/>
        <v>62.383457132216847</v>
      </c>
      <c r="J27" s="21"/>
      <c r="K27" s="21">
        <f t="shared" si="5"/>
        <v>4.8848807868557396</v>
      </c>
      <c r="L27" s="21">
        <f t="shared" si="5"/>
        <v>23.867186291995559</v>
      </c>
      <c r="M27" s="21">
        <f t="shared" si="5"/>
        <v>28.434814757951713</v>
      </c>
      <c r="N27" s="21">
        <f t="shared" si="5"/>
        <v>30.273541342584821</v>
      </c>
      <c r="O27" s="21"/>
      <c r="P27" s="21">
        <f t="shared" si="5"/>
        <v>4.5149001834988738</v>
      </c>
      <c r="Q27" s="21">
        <f t="shared" si="5"/>
        <v>20.799552280693153</v>
      </c>
      <c r="R27" s="21">
        <f t="shared" si="5"/>
        <v>24.318404628784684</v>
      </c>
      <c r="S27" s="21">
        <f t="shared" si="5"/>
        <v>23.605754345985712</v>
      </c>
      <c r="T27" s="40">
        <f t="shared" si="5"/>
        <v>2.4489206654760975</v>
      </c>
      <c r="U27" s="31"/>
      <c r="V27" s="30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</row>
    <row r="28" spans="2:49" ht="14.4" customHeight="1">
      <c r="E28" s="6" t="s">
        <v>0</v>
      </c>
      <c r="F28" s="21">
        <f>F19</f>
        <v>2.5996024241382272</v>
      </c>
      <c r="G28" s="21">
        <f>G19</f>
        <v>13.409234009533311</v>
      </c>
      <c r="H28" s="21">
        <f>H19</f>
        <v>15.888185460038089</v>
      </c>
      <c r="I28" s="21">
        <f>I19</f>
        <v>18.365699873896595</v>
      </c>
      <c r="J28" s="21"/>
      <c r="K28" s="21">
        <f>K19</f>
        <v>2.4616341066341065</v>
      </c>
      <c r="L28" s="21">
        <f>L19</f>
        <v>14.357827893175074</v>
      </c>
      <c r="M28" s="21">
        <f>M19</f>
        <v>17.317780959198281</v>
      </c>
      <c r="N28" s="21">
        <f>N19</f>
        <v>16.644571428571428</v>
      </c>
      <c r="O28" s="21"/>
      <c r="P28" s="21">
        <f>P19</f>
        <v>2.3683739598629465</v>
      </c>
      <c r="Q28" s="21">
        <f>Q19</f>
        <v>13.500524553571429</v>
      </c>
      <c r="R28" s="21">
        <f>R19</f>
        <v>16.193400267737616</v>
      </c>
      <c r="S28" s="21">
        <f>S19</f>
        <v>15.092227979274609</v>
      </c>
      <c r="T28" s="40">
        <f>T19</f>
        <v>2.9201002506265663</v>
      </c>
      <c r="U28" s="31"/>
      <c r="V28" s="30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spans="2:49" ht="14.4" customHeight="1">
      <c r="T29" s="35"/>
      <c r="U29" s="31"/>
      <c r="V29" s="30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spans="2:49" ht="14.4" customHeight="1">
      <c r="T30" s="35"/>
      <c r="U30" s="31"/>
      <c r="V30" s="30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spans="2:49" ht="14.4" customHeight="1">
      <c r="T31" s="35"/>
      <c r="U31" s="31"/>
      <c r="V31" s="30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spans="2:49">
      <c r="O32" s="43"/>
      <c r="T32" s="35"/>
      <c r="U32" s="25"/>
      <c r="V32" s="30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 ht="6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 ht="14.4" customHeight="1">
      <c r="A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spans="1:49" ht="14.4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spans="1:49" ht="14.4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spans="1:49" ht="14.4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spans="1:49" ht="14.4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spans="1:49" ht="14.4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spans="1:49" ht="14.4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</row>
    <row r="41" spans="1:49" ht="14.4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</row>
    <row r="42" spans="1:49" ht="14.4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</row>
    <row r="43" spans="1:49" ht="14.4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</row>
    <row r="44" spans="1:49" ht="14.4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spans="1:49" ht="14.4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spans="1:49" ht="14.4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spans="1:49" ht="14.4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spans="1:49" ht="14.4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spans="1:42" ht="14.4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spans="1:42" ht="14.4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spans="1:42" ht="14.4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spans="1:42" ht="14.4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</row>
    <row r="53" spans="1:42" ht="14.4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spans="1:42" ht="14.4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spans="1:42" ht="14.4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spans="1:42" ht="14.4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spans="1:42" ht="14.4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spans="1:42" ht="14.4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spans="1:42" ht="14.4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spans="1:42" ht="14.4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  <row r="61" spans="1:42" ht="14.4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</row>
    <row r="62" spans="1:42" ht="14.4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</row>
    <row r="63" spans="1:42" ht="14.4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</row>
    <row r="64" spans="1:42" ht="14.4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</row>
    <row r="65" spans="1:42" ht="14.4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spans="1:42" ht="14.4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spans="1:42" ht="14.4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</row>
    <row r="68" spans="1:42" ht="14.4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spans="1:42" ht="14.4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spans="1:42" ht="14.4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spans="1:42" ht="14.4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</row>
    <row r="72" spans="1:42" ht="14.4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spans="1:42" ht="14.4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spans="1:42" ht="14.4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spans="1:42" ht="14.4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spans="1:42" ht="14.4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</row>
    <row r="77" spans="1:42" ht="14.4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spans="1:42" ht="14.4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spans="1:42" ht="14.4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spans="1:42" ht="14.4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spans="1:42" ht="14.4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</row>
    <row r="82" spans="1:42" ht="14.4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spans="1:42" ht="14.4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spans="1:42" ht="14.4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</row>
    <row r="85" spans="1:42" ht="14.4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1:42" ht="14.4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1:42" ht="14.4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</row>
    <row r="88" spans="1:42" ht="14.4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</row>
    <row r="89" spans="1:42" ht="14.4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</row>
    <row r="90" spans="1:42" ht="14.4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spans="1:42" ht="14.4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</row>
    <row r="92" spans="1:42" ht="14.4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</row>
    <row r="93" spans="1:42" ht="14.4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spans="1:42" ht="14.4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</row>
    <row r="95" spans="1:42" ht="14.4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</row>
    <row r="96" spans="1:42" ht="14.4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spans="1:42" ht="14.4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spans="1:42" ht="14.4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spans="1:42" ht="14.4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spans="1:42" ht="14.4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</row>
    <row r="101" spans="1:42" ht="14.4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spans="1:42" ht="14.4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</row>
    <row r="103" spans="1:42" ht="14.4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</row>
    <row r="104" spans="1:42" ht="14.4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</row>
    <row r="105" spans="1:42" ht="14.4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</row>
    <row r="106" spans="1:42" ht="14.4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</row>
    <row r="107" spans="1:42" ht="14.4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</row>
    <row r="108" spans="1:42" ht="14.4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</row>
    <row r="109" spans="1:42" ht="14.4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</row>
    <row r="110" spans="1:42" ht="14.4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</row>
    <row r="111" spans="1:42" ht="14.4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</row>
    <row r="112" spans="1:42" ht="14.4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</row>
    <row r="113" spans="1:42" ht="14.4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</row>
    <row r="114" spans="1:42" ht="14.4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</row>
    <row r="115" spans="1:42" ht="14.4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</row>
    <row r="116" spans="1:42" ht="14.4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</row>
    <row r="117" spans="1:42" ht="14.4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</row>
    <row r="118" spans="1:42" ht="14.4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</row>
    <row r="119" spans="1:42" ht="14.4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</row>
    <row r="120" spans="1:42" ht="14.4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</row>
    <row r="121" spans="1:42" ht="14.4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</row>
    <row r="122" spans="1:42" ht="14.4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</row>
    <row r="123" spans="1:42" ht="14.4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</row>
    <row r="124" spans="1:42" ht="14.4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</row>
    <row r="125" spans="1:42" ht="14.4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</row>
    <row r="126" spans="1:42" ht="14.4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</row>
    <row r="127" spans="1:42" ht="14.4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</row>
    <row r="128" spans="1:42" ht="14.4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</row>
    <row r="129" spans="1:42" ht="14.4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</row>
    <row r="130" spans="1:42" ht="14.4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</row>
    <row r="131" spans="1:42" ht="14.4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</row>
    <row r="132" spans="1:42" ht="14.4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</row>
    <row r="133" spans="1:42" ht="14.4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</row>
    <row r="134" spans="1:42" ht="14.4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</row>
    <row r="135" spans="1:42" ht="14.4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</row>
    <row r="136" spans="1:42" ht="14.4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</row>
    <row r="137" spans="1:42" ht="14.4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</row>
    <row r="138" spans="1:42" ht="14.4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</row>
    <row r="139" spans="1:42" ht="14.4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</row>
    <row r="140" spans="1:42" ht="14.4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</row>
    <row r="141" spans="1:42" ht="14.4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</row>
    <row r="142" spans="1:42" ht="14.4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</row>
    <row r="143" spans="1:42" ht="14.4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</row>
    <row r="144" spans="1:42" ht="14.4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</row>
    <row r="145" spans="1:42" ht="14.4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</row>
    <row r="146" spans="1:42" ht="14.4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</row>
    <row r="147" spans="1:42" ht="14.4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</row>
    <row r="148" spans="1:42" ht="14.4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</row>
    <row r="149" spans="1:42" ht="14.4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</row>
    <row r="150" spans="1:42" ht="14.4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</row>
    <row r="151" spans="1:42" ht="14.4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</row>
    <row r="152" spans="1:42" ht="14.4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</row>
    <row r="153" spans="1:42" ht="14.4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</row>
    <row r="154" spans="1:42" ht="14.4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</row>
    <row r="155" spans="1:42" ht="14.4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</row>
    <row r="156" spans="1:42" ht="14.4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</row>
    <row r="157" spans="1:42" ht="14.4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</row>
    <row r="158" spans="1:42" ht="14.4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</row>
    <row r="159" spans="1:42" ht="14.4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</row>
    <row r="160" spans="1:42" ht="14.4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</row>
    <row r="161" spans="1:42" ht="14.4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</row>
    <row r="162" spans="1:42" ht="14.4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</row>
    <row r="163" spans="1:42" ht="14.4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</row>
    <row r="164" spans="1:42" ht="14.4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</row>
    <row r="165" spans="1:42" ht="14.4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</row>
    <row r="166" spans="1:42" ht="14.4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</row>
    <row r="167" spans="1:42" ht="14.4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</row>
    <row r="168" spans="1:42" ht="14.4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</row>
    <row r="169" spans="1:42" ht="14.4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</row>
    <row r="170" spans="1:42" ht="14.4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</row>
    <row r="171" spans="1:42" ht="14.4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</row>
    <row r="172" spans="1:42" ht="14.4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</row>
    <row r="173" spans="1:42" ht="14.4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</row>
    <row r="174" spans="1:42" ht="14.4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</row>
    <row r="175" spans="1:42" ht="14.4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</row>
    <row r="176" spans="1:42" ht="14.4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</row>
    <row r="177" spans="1:42" ht="14.4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</row>
    <row r="178" spans="1:42" ht="14.4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</row>
    <row r="179" spans="1:42" ht="14.4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</row>
    <row r="180" spans="1:42" ht="14.4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</row>
    <row r="181" spans="1:42" ht="14.4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</row>
    <row r="182" spans="1:42" ht="14.4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</row>
    <row r="183" spans="1:42" ht="14.4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</row>
    <row r="184" spans="1:42" ht="14.4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</row>
    <row r="185" spans="1:42" ht="14.4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</row>
    <row r="186" spans="1:42" ht="14.4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</row>
    <row r="187" spans="1:42" ht="14.4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</row>
    <row r="188" spans="1:42" ht="14.4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</row>
    <row r="189" spans="1:42" ht="14.4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</row>
    <row r="190" spans="1:42" ht="14.4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</row>
    <row r="191" spans="1:42" ht="14.4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</row>
    <row r="192" spans="1:42" ht="14.4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</row>
    <row r="193" spans="1:42" ht="14.4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</row>
    <row r="194" spans="1:42" ht="14.4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</row>
    <row r="195" spans="1:42" ht="14.4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</row>
    <row r="196" spans="1:42" ht="14.4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</row>
    <row r="197" spans="1:42" ht="14.4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</row>
    <row r="198" spans="1:42" ht="14.4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</row>
    <row r="199" spans="1:42" ht="14.4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</row>
    <row r="200" spans="1:42" ht="14.4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</row>
    <row r="201" spans="1:42" ht="14.4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</row>
    <row r="202" spans="1:42" ht="14.4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</row>
    <row r="203" spans="1:42" ht="14.4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</row>
    <row r="204" spans="1:42" ht="14.4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</row>
    <row r="205" spans="1:42" ht="14.4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</row>
    <row r="206" spans="1:42" ht="14.4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</row>
    <row r="207" spans="1:42" ht="14.4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</row>
    <row r="208" spans="1:42" ht="14.4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</row>
    <row r="209" spans="1:42" ht="14.4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</row>
    <row r="210" spans="1:42" ht="14.4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</row>
    <row r="211" spans="1:42" ht="14.4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</row>
    <row r="212" spans="1:42" ht="14.4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</row>
    <row r="213" spans="1:42" ht="14.4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</row>
    <row r="214" spans="1:42" ht="14.4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</row>
    <row r="215" spans="1:42" ht="14.4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</row>
    <row r="216" spans="1:42" ht="14.4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</row>
    <row r="217" spans="1:42" ht="14.4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</row>
    <row r="218" spans="1:42" ht="14.4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</row>
    <row r="219" spans="1:42" ht="14.4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</row>
    <row r="220" spans="1:42" ht="14.4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</row>
    <row r="221" spans="1:42" ht="14.4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</row>
    <row r="222" spans="1:42" ht="14.4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</row>
    <row r="223" spans="1:42" ht="14.4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</row>
    <row r="224" spans="1:42" ht="14.4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</row>
    <row r="225" spans="1:42" ht="14.4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</row>
    <row r="226" spans="1:42" ht="14.4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</row>
    <row r="227" spans="1:42" ht="14.4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</row>
    <row r="228" spans="1:42" ht="14.4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</row>
    <row r="229" spans="1:42" ht="14.4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</row>
    <row r="230" spans="1:42" ht="14.4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</row>
    <row r="231" spans="1:42" ht="14.4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</row>
    <row r="232" spans="1:42" ht="14.4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</row>
    <row r="233" spans="1:42" ht="14.4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</row>
    <row r="234" spans="1:42" ht="14.4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</row>
    <row r="235" spans="1:42" ht="14.4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</row>
    <row r="236" spans="1:42" ht="14.4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</row>
    <row r="237" spans="1:42" ht="14.4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</row>
    <row r="238" spans="1:42" ht="14.4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</row>
    <row r="239" spans="1:42" ht="14.4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</row>
    <row r="240" spans="1:42" ht="14.4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</row>
    <row r="241" spans="1:42" ht="14.4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</row>
    <row r="242" spans="1:42" ht="14.4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</row>
    <row r="243" spans="1:42" ht="14.4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</row>
    <row r="244" spans="1:42" ht="14.4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</row>
    <row r="245" spans="1:42" ht="14.4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</row>
    <row r="246" spans="1:42" ht="14.4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</row>
    <row r="247" spans="1:42" ht="14.4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</row>
    <row r="248" spans="1:42" ht="14.4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</row>
    <row r="249" spans="1:42" ht="14.4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</row>
    <row r="250" spans="1:42" ht="14.4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</row>
    <row r="251" spans="1:42" ht="14.4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</row>
    <row r="252" spans="1:42" ht="14.4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</row>
    <row r="253" spans="1:42" ht="14.4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</row>
    <row r="254" spans="1:42" ht="14.4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</row>
    <row r="255" spans="1:42" ht="14.4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</row>
    <row r="256" spans="1:42" ht="14.4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</row>
    <row r="257" spans="1:42" ht="14.4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</row>
    <row r="258" spans="1:42" ht="14.4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</row>
    <row r="259" spans="1:42" ht="14.4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</row>
    <row r="260" spans="1:42" ht="14.4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</row>
    <row r="261" spans="1:42" ht="14.4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</row>
    <row r="262" spans="1:42" ht="14.4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</row>
    <row r="263" spans="1:42" ht="14.4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</row>
    <row r="264" spans="1:42" ht="14.4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</row>
    <row r="265" spans="1:42" ht="14.4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</row>
    <row r="266" spans="1:42" ht="14.4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</row>
    <row r="267" spans="1:42" ht="14.4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</row>
    <row r="268" spans="1:42" ht="14.4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</row>
    <row r="269" spans="1:42" ht="14.4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</row>
    <row r="270" spans="1:42" ht="14.4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</row>
    <row r="271" spans="1:42" ht="14.4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</row>
    <row r="272" spans="1:42" ht="14.4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</row>
    <row r="273" spans="1:42" ht="14.4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</row>
    <row r="274" spans="1:42" ht="14.4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</row>
    <row r="275" spans="1:42" ht="14.4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</row>
    <row r="276" spans="1:42" ht="14.4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</row>
    <row r="277" spans="1:42" ht="14.4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</row>
    <row r="278" spans="1:42" ht="14.4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</row>
    <row r="279" spans="1:42" ht="14.4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</row>
    <row r="280" spans="1:42" ht="14.4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</row>
    <row r="281" spans="1:42" ht="14.4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</row>
    <row r="282" spans="1:42" ht="14.4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</row>
    <row r="283" spans="1:42" ht="14.4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</row>
    <row r="284" spans="1:42" ht="14.4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</row>
    <row r="285" spans="1:42" ht="14.4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</row>
    <row r="286" spans="1:42" ht="14.4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</row>
    <row r="287" spans="1:42" ht="14.4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</row>
    <row r="288" spans="1:42" ht="14.4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</row>
    <row r="289" spans="1:42" ht="14.4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</row>
    <row r="290" spans="1:42" ht="14.4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</row>
    <row r="291" spans="1:42" ht="14.4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</row>
    <row r="292" spans="1:42" ht="14.4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</row>
    <row r="293" spans="1:42" ht="14.4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</row>
    <row r="294" spans="1:42" ht="14.4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</row>
    <row r="295" spans="1:42" ht="14.4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</row>
    <row r="296" spans="1:42" ht="14.4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</row>
    <row r="297" spans="1:42" ht="14.4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</row>
    <row r="298" spans="1:42" ht="14.4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</row>
    <row r="299" spans="1:42" ht="14.4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</row>
    <row r="300" spans="1:42" ht="14.4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</row>
    <row r="301" spans="1:42" ht="14.4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</row>
    <row r="302" spans="1:42" ht="14.4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</row>
    <row r="303" spans="1:42" ht="14.4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</row>
    <row r="304" spans="1:42" ht="14.4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</row>
    <row r="305" spans="1:42" ht="14.4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</row>
    <row r="306" spans="1:42" ht="14.4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</row>
    <row r="307" spans="1:42" ht="14.4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</row>
    <row r="308" spans="1:42" ht="14.4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</row>
    <row r="309" spans="1:42" ht="14.4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</row>
    <row r="310" spans="1:42" ht="14.4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</row>
    <row r="311" spans="1:42" ht="14.4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</row>
    <row r="312" spans="1:42" ht="14.4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</row>
    <row r="313" spans="1:42" ht="14.4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</row>
    <row r="314" spans="1:42" ht="14.4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</row>
    <row r="315" spans="1:42" ht="14.4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</row>
    <row r="316" spans="1:42" ht="14.4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</row>
    <row r="317" spans="1:42" ht="14.4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</row>
    <row r="318" spans="1:42" ht="14.4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</row>
    <row r="319" spans="1:42" ht="14.4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</row>
    <row r="320" spans="1:42" ht="14.4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</row>
    <row r="321" spans="1:42" ht="14.4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</row>
    <row r="322" spans="1:42" ht="14.4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</row>
    <row r="323" spans="1:42" ht="14.4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</row>
    <row r="324" spans="1:42" ht="14.4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</row>
    <row r="325" spans="1:42" ht="14.4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</row>
    <row r="326" spans="1:42" ht="14.4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</row>
    <row r="327" spans="1:42" ht="14.4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</row>
    <row r="328" spans="1:42" ht="14.4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</row>
    <row r="329" spans="1:42" ht="14.4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</row>
    <row r="330" spans="1:42" ht="14.4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</row>
    <row r="331" spans="1:42" ht="14.4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</row>
    <row r="332" spans="1:42" ht="14.4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</row>
    <row r="333" spans="1:42" ht="14.4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</row>
    <row r="334" spans="1:42" ht="14.4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</row>
    <row r="335" spans="1:42" ht="14.4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</row>
    <row r="336" spans="1:42" ht="14.4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</row>
    <row r="337" spans="1:42" ht="14.4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</row>
    <row r="338" spans="1:42" ht="14.4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</row>
    <row r="339" spans="1:42" ht="14.4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</row>
    <row r="340" spans="1:42" ht="14.4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</row>
    <row r="341" spans="1:42" ht="14.4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</row>
    <row r="342" spans="1:42" ht="14.4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</row>
    <row r="343" spans="1:42" ht="14.4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</row>
    <row r="344" spans="1:42" ht="14.4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</row>
    <row r="345" spans="1:42" ht="14.4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</row>
    <row r="346" spans="1:42" ht="14.4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</row>
    <row r="347" spans="1:42" ht="14.4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</row>
    <row r="348" spans="1:42" ht="14.4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</row>
    <row r="349" spans="1:42" ht="14.4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</row>
    <row r="350" spans="1:42" ht="14.4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</row>
    <row r="351" spans="1:42" ht="14.4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</row>
    <row r="352" spans="1:42" ht="14.4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</row>
    <row r="353" spans="1:42" ht="14.4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</row>
    <row r="354" spans="1:42" ht="14.4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</row>
    <row r="355" spans="1:42" ht="14.4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</row>
    <row r="356" spans="1:42" ht="14.4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</row>
    <row r="357" spans="1:42" ht="14.4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</row>
    <row r="358" spans="1:42" ht="14.4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</row>
    <row r="359" spans="1:42" ht="14.4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</row>
    <row r="360" spans="1:42" ht="14.4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</row>
    <row r="361" spans="1:42" ht="14.4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</row>
    <row r="362" spans="1:42" ht="14.4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</row>
    <row r="363" spans="1:42" ht="14.4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</row>
    <row r="364" spans="1:42" ht="14.4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</row>
    <row r="365" spans="1:42" ht="14.4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</row>
    <row r="366" spans="1:42" ht="14.4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</row>
    <row r="367" spans="1:42" ht="14.4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</row>
    <row r="368" spans="1:42" ht="14.4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</row>
    <row r="369" spans="1:42" ht="14.4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</row>
    <row r="370" spans="1:42" ht="14.4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</row>
    <row r="371" spans="1:42" ht="14.4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</row>
    <row r="372" spans="1:42" ht="14.4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</row>
    <row r="373" spans="1:42" ht="14.4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</row>
    <row r="374" spans="1:42" ht="14.4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</row>
    <row r="375" spans="1:42" ht="14.4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</row>
    <row r="376" spans="1:42" ht="14.4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</row>
    <row r="377" spans="1:42" ht="14.4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</row>
    <row r="378" spans="1:42" ht="14.4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</row>
    <row r="379" spans="1:42" ht="14.4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</row>
    <row r="380" spans="1:42" ht="14.4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</row>
    <row r="381" spans="1:42" ht="14.4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</row>
    <row r="382" spans="1:42" ht="14.4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</row>
    <row r="383" spans="1:42" ht="14.4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</row>
    <row r="384" spans="1:42" ht="14.4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</row>
    <row r="385" spans="1:42" ht="14.4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</row>
    <row r="386" spans="1:42" ht="14.4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</row>
    <row r="387" spans="1:42" ht="14.4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</row>
    <row r="388" spans="1:42" ht="14.4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</row>
    <row r="389" spans="1:42" ht="14.4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</row>
    <row r="390" spans="1:42" ht="14.4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</row>
    <row r="391" spans="1:42" ht="14.4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</row>
    <row r="392" spans="1:42" ht="14.4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</row>
    <row r="393" spans="1:42" ht="14.4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</row>
    <row r="394" spans="1:42" ht="14.4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</row>
    <row r="395" spans="1:42" ht="14.4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</row>
    <row r="396" spans="1:42" ht="14.4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</row>
    <row r="397" spans="1:42" ht="14.4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</row>
    <row r="398" spans="1:42" ht="14.4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</row>
    <row r="399" spans="1:42" ht="14.4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</row>
    <row r="400" spans="1:42" ht="14.4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</row>
    <row r="401" spans="1:42" ht="14.4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</row>
    <row r="402" spans="1:42" ht="14.4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</row>
    <row r="403" spans="1:42" ht="14.4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</row>
    <row r="404" spans="1:42" ht="14.4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</row>
    <row r="405" spans="1:42" ht="14.4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</row>
    <row r="406" spans="1:42" ht="14.4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</row>
    <row r="407" spans="1:42" ht="14.4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</row>
    <row r="408" spans="1:42" ht="14.4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</row>
    <row r="409" spans="1:42" ht="14.4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</row>
    <row r="410" spans="1:42" ht="14.4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</row>
    <row r="411" spans="1:42" ht="14.4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</row>
    <row r="412" spans="1:42" ht="14.4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</row>
    <row r="413" spans="1:42" ht="14.4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</row>
    <row r="414" spans="1:42" ht="14.4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</row>
    <row r="415" spans="1:42" ht="14.4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</row>
    <row r="416" spans="1:42" ht="14.4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</row>
    <row r="417" spans="1:42" ht="14.4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</row>
    <row r="418" spans="1:42" ht="14.4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</row>
    <row r="419" spans="1:42" ht="14.4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</row>
    <row r="420" spans="1:42" ht="14.4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</row>
    <row r="421" spans="1:42" ht="14.4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</row>
    <row r="422" spans="1:42" ht="14.4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</row>
    <row r="423" spans="1:42" ht="14.4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</row>
    <row r="424" spans="1:42" ht="14.4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</row>
    <row r="425" spans="1:42" ht="14.4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</row>
    <row r="426" spans="1:42" ht="14.4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</row>
    <row r="427" spans="1:42" ht="14.4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</row>
    <row r="428" spans="1:42" ht="14.4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</row>
    <row r="429" spans="1:42" ht="14.4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</row>
    <row r="430" spans="1:42" ht="14.4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</row>
    <row r="431" spans="1:42" ht="14.4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</row>
    <row r="432" spans="1:42" ht="14.4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</row>
    <row r="433" spans="1:42" ht="14.4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</row>
    <row r="434" spans="1:42" ht="14.4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</row>
    <row r="435" spans="1:42" ht="14.4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</row>
    <row r="436" spans="1:42" ht="14.4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</row>
    <row r="437" spans="1:42" ht="14.4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</row>
    <row r="438" spans="1:42" ht="14.4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</row>
    <row r="439" spans="1:42" ht="14.4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</row>
    <row r="440" spans="1:42" ht="14.4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</row>
    <row r="441" spans="1:42" ht="14.4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</row>
    <row r="442" spans="1:42" ht="14.4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</row>
    <row r="443" spans="1:42" ht="14.4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</row>
    <row r="444" spans="1:42" ht="14.4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</row>
    <row r="445" spans="1:42" ht="14.4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</row>
    <row r="446" spans="1:42" ht="14.4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</row>
    <row r="447" spans="1:42" ht="14.4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</row>
    <row r="448" spans="1:42" ht="14.4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</row>
    <row r="449" spans="1:42" ht="14.4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</row>
    <row r="450" spans="1:42" ht="14.4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</row>
    <row r="451" spans="1:42" ht="14.4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</row>
    <row r="452" spans="1:42" ht="14.4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</row>
    <row r="453" spans="1:42" ht="14.4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</row>
    <row r="454" spans="1:42" ht="14.4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</row>
    <row r="455" spans="1:42" ht="14.4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</row>
    <row r="456" spans="1:42" ht="14.4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</row>
    <row r="457" spans="1:42" ht="14.4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</row>
    <row r="458" spans="1:42" ht="14.4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</row>
    <row r="459" spans="1:42" ht="14.4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</row>
    <row r="460" spans="1:42" ht="14.4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</row>
    <row r="461" spans="1:42" ht="14.4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</row>
    <row r="462" spans="1:42" ht="14.4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</row>
    <row r="463" spans="1:42" ht="14.4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</row>
    <row r="464" spans="1:42" ht="14.4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</row>
    <row r="465" spans="1:42" ht="14.4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</row>
    <row r="466" spans="1:42" ht="14.4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</row>
    <row r="467" spans="1:42" ht="14.4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</row>
    <row r="468" spans="1:42" ht="14.4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</row>
    <row r="469" spans="1:42" ht="14.4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</row>
    <row r="470" spans="1:42" ht="14.4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</row>
    <row r="471" spans="1:42" ht="14.4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</row>
    <row r="472" spans="1:42" ht="14.4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</row>
    <row r="473" spans="1:42" ht="14.4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</row>
    <row r="474" spans="1:42" ht="14.4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</row>
    <row r="475" spans="1:42" ht="14.4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</row>
    <row r="476" spans="1:42" ht="14.4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</row>
    <row r="477" spans="1:42" ht="14.4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</row>
    <row r="478" spans="1:42" ht="14.4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</row>
    <row r="479" spans="1:42" ht="14.4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</row>
    <row r="480" spans="1:42" ht="14.4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</row>
    <row r="481" spans="1:42" ht="14.4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</row>
    <row r="482" spans="1:42" ht="14.4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</row>
    <row r="483" spans="1:42" ht="14.4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</row>
    <row r="484" spans="1:42" ht="14.4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</row>
    <row r="485" spans="1:42" ht="14.4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</row>
    <row r="486" spans="1:42" ht="14.4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</row>
    <row r="487" spans="1:42" ht="14.4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</row>
    <row r="488" spans="1:42" ht="14.4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</row>
    <row r="489" spans="1:42" ht="14.4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</row>
    <row r="490" spans="1:42" ht="14.4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</row>
    <row r="491" spans="1:42" ht="14.4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</row>
    <row r="492" spans="1:42" ht="14.4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</row>
    <row r="493" spans="1:42" ht="14.4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</row>
    <row r="494" spans="1:42" ht="14.4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</row>
    <row r="495" spans="1:42" ht="14.4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</row>
    <row r="496" spans="1:42" ht="14.4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</row>
    <row r="497" spans="1:42" ht="14.4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</row>
    <row r="498" spans="1:42" ht="14.4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</row>
    <row r="499" spans="1:42" ht="14.4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</row>
    <row r="500" spans="1:42" ht="14.4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</row>
    <row r="501" spans="1:42" ht="14.4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</row>
    <row r="502" spans="1:42" ht="14.4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</row>
    <row r="503" spans="1:42" ht="14.4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</row>
    <row r="504" spans="1:42" ht="14.4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</row>
    <row r="505" spans="1:42" ht="14.4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</row>
    <row r="506" spans="1:42" ht="14.4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</row>
    <row r="507" spans="1:42" ht="14.4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</row>
    <row r="508" spans="1:42" ht="14.4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</row>
    <row r="509" spans="1:42" ht="14.4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</row>
    <row r="510" spans="1:42" ht="14.4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</row>
    <row r="511" spans="1:42" ht="14.4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</row>
    <row r="512" spans="1:42" ht="14.4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</row>
    <row r="513" spans="1:42" ht="14.4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</row>
    <row r="514" spans="1:42" ht="14.4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</row>
    <row r="515" spans="1:42" ht="14.4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</row>
    <row r="516" spans="1:42" ht="14.4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</row>
    <row r="517" spans="1:42" ht="14.4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</row>
    <row r="518" spans="1:42" ht="14.4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</row>
    <row r="519" spans="1:42" ht="14.4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</row>
    <row r="520" spans="1:42" ht="14.4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</row>
    <row r="521" spans="1:42" ht="14.4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</row>
    <row r="522" spans="1:42" ht="14.4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</row>
    <row r="523" spans="1:42" ht="14.4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</row>
    <row r="524" spans="1:42" ht="14.4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</row>
    <row r="525" spans="1:42" ht="14.4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</row>
    <row r="526" spans="1:42" ht="14.4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</row>
    <row r="527" spans="1:42" ht="14.4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</row>
    <row r="528" spans="1:42" ht="14.4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</row>
    <row r="529" spans="1:42" ht="14.4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</row>
    <row r="530" spans="1:42" ht="14.4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</row>
    <row r="531" spans="1:42" ht="14.4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</row>
    <row r="532" spans="1:42" ht="14.4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</row>
    <row r="533" spans="1:42" ht="14.4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</row>
    <row r="534" spans="1:42" ht="14.4" customHeight="1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</row>
    <row r="535" spans="1:42" ht="14.4" customHeight="1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</row>
    <row r="536" spans="1:42" ht="14.4" customHeight="1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</row>
    <row r="537" spans="1:42" ht="14.4" customHeight="1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 spans="1:42" ht="14.4" customHeight="1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 spans="1:42" ht="14.4" customHeight="1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 spans="1:42" ht="14.4" customHeight="1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 spans="1:42" ht="14.4" customHeight="1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 spans="1:42" ht="14.4" customHeight="1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 spans="1:42" ht="14.4" customHeight="1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 spans="1:42" ht="14.4" customHeight="1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 spans="2:31" ht="14.4" customHeight="1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 spans="2:31" ht="14.4" customHeight="1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 spans="2:31" ht="14.4" customHeight="1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 spans="2:31" ht="14.4" customHeight="1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 spans="2:31" ht="14.4" customHeight="1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 spans="2:31" ht="14.4" customHeight="1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 spans="2:31" ht="14.4" customHeight="1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 spans="2:31" ht="14.4" customHeight="1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 spans="2:31" ht="14.4" customHeight="1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 spans="2:31" ht="14.4" customHeight="1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 spans="2:31" ht="14.4" customHeight="1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 spans="2:31" ht="14.4" customHeight="1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 spans="2:31" ht="14.4" customHeight="1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 spans="2:31" ht="14.4" customHeight="1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 spans="2:31" ht="14.4" customHeight="1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 spans="2:31" ht="14.4" customHeight="1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 spans="2:31" ht="14.4" customHeight="1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 spans="2:31" ht="14.4" customHeight="1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 spans="2:31" ht="14.4" customHeight="1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 spans="2:31" ht="14.4" customHeight="1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 spans="2:31" ht="14.4" customHeight="1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 spans="2:31" ht="14.4" customHeight="1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 spans="2:31" ht="14.4" customHeight="1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 spans="2:31" ht="14.4" customHeight="1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 spans="2:31" ht="14.4" customHeight="1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 spans="2:31" ht="14.4" customHeight="1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 spans="2:31" ht="14.4" customHeight="1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 spans="2:31" ht="14.4" customHeight="1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 spans="2:31" ht="14.4" customHeight="1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 spans="2:31" ht="14.4" customHeight="1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 spans="2:31" ht="14.4" customHeight="1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 spans="2:31" ht="14.4" customHeight="1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 spans="2:31" ht="14.4" customHeight="1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 spans="2:31" ht="14.4" customHeight="1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 spans="2:31" ht="14.4" customHeight="1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 spans="2:31" ht="14.4" customHeight="1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 spans="2:31" ht="14.4" customHeight="1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 spans="2:31" ht="14.4" customHeight="1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 spans="2:31" ht="14.4" customHeight="1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 spans="2:31" ht="14.4" customHeight="1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 spans="2:31" ht="14.4" customHeight="1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 spans="2:31" ht="14.4" customHeight="1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 spans="2:31" ht="14.4" customHeight="1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 spans="2:31" ht="14.4" customHeight="1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 spans="2:31" ht="14.4" customHeight="1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2:31" ht="14.4" customHeight="1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 spans="2:31" ht="14.4" customHeight="1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2:31" ht="14.4" customHeight="1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2:31" ht="14.4" customHeight="1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 spans="2:31" ht="14.4" customHeight="1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 spans="2:31" ht="14.4" customHeight="1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 spans="2:31" ht="14.4" customHeight="1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 spans="2:31" ht="14.4" customHeight="1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 spans="2:31" ht="14.4" customHeight="1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 spans="2:31" ht="14.4" customHeight="1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 spans="2:31" ht="14.4" customHeight="1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 spans="2:31" ht="14.4" customHeight="1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 spans="2:31" ht="14.4" customHeight="1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 spans="2:31" ht="14.4" customHeight="1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 spans="2:31" ht="14.4" customHeight="1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 spans="2:31" ht="14.4" customHeight="1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 spans="2:31" ht="14.4" customHeight="1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 spans="2:31" ht="14.4" customHeight="1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 spans="2:31" ht="14.4" customHeight="1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 spans="2:31" ht="14.4" customHeight="1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 spans="2:31" ht="14.4" customHeight="1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 spans="2:31" ht="14.4" customHeight="1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 spans="2:31" ht="14.4" customHeight="1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 spans="2:31" ht="14.4" customHeight="1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 spans="2:31" ht="14.4" customHeight="1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 spans="2:31" ht="14.4" customHeight="1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 spans="2:31" ht="14.4" customHeight="1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 spans="2:31" ht="14.4" customHeight="1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 spans="2:31" ht="14.4" customHeight="1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 spans="2:31" ht="14.4" customHeight="1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 spans="2:31" ht="14.4" customHeight="1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 spans="2:31" ht="14.4" customHeight="1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 spans="2:31" ht="14.4" customHeight="1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 spans="2:31" ht="14.4" customHeight="1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 spans="2:31" ht="14.4" customHeight="1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 spans="2:31" ht="14.4" customHeight="1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 spans="2:31" ht="14.4" customHeight="1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 spans="2:31" ht="14.4" customHeight="1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 spans="2:31" ht="14.4" customHeight="1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 spans="2:31" ht="14.4" customHeight="1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 spans="2:31" ht="14.4" customHeight="1"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 spans="2:31" ht="14.4" customHeight="1"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 spans="2:31" ht="14.4" customHeight="1"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 spans="2:31" ht="14.4" customHeight="1"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 spans="2:31" ht="14.4" customHeight="1"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 spans="2:31" ht="14.4" customHeight="1"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 spans="2:31" ht="14.4" customHeight="1"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 spans="2:31" ht="14.4" customHeight="1"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 spans="2:31" ht="14.4" customHeight="1"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 spans="2:31" ht="14.4" customHeight="1"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 spans="2:31" ht="14.4" customHeight="1"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 spans="2:31" ht="14.4" customHeight="1"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 spans="2:31" ht="14.4" customHeight="1"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 spans="2:31" ht="14.4" customHeight="1"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 spans="2:31" ht="14.4" customHeight="1"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 spans="2:31" ht="14.4" customHeight="1"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 spans="2:31" ht="14.4" customHeight="1"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 spans="2:31" ht="14.4" customHeight="1"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 spans="2:31" ht="14.4" customHeight="1"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 spans="2:31" ht="14.4" customHeight="1"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 spans="2:31" ht="14.4" customHeight="1"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 spans="2:31" ht="14.4" customHeight="1"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 spans="2:31" ht="14.4" customHeight="1"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 spans="2:31" ht="14.4" customHeight="1"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 spans="2:31" ht="14.4" customHeight="1"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 spans="2:31" ht="14.4" customHeight="1">
      <c r="W655" s="25"/>
      <c r="X655" s="25"/>
      <c r="Y655" s="25"/>
      <c r="Z655" s="25"/>
      <c r="AA655" s="25"/>
      <c r="AB655" s="25"/>
      <c r="AC655" s="25"/>
      <c r="AD655" s="25"/>
      <c r="AE655" s="25"/>
    </row>
    <row r="656" spans="2:31" ht="14.4" customHeight="1">
      <c r="W656" s="25"/>
      <c r="X656" s="25"/>
      <c r="Y656" s="25"/>
      <c r="Z656" s="25"/>
      <c r="AA656" s="25"/>
      <c r="AB656" s="25"/>
      <c r="AC656" s="25"/>
      <c r="AD656" s="25"/>
      <c r="AE656" s="25"/>
    </row>
    <row r="657" spans="23:31" ht="14.4" customHeight="1">
      <c r="W657" s="25"/>
      <c r="X657" s="25"/>
      <c r="Y657" s="25"/>
      <c r="Z657" s="25"/>
      <c r="AA657" s="25"/>
      <c r="AB657" s="25"/>
      <c r="AC657" s="25"/>
      <c r="AD657" s="25"/>
      <c r="AE657" s="25"/>
    </row>
    <row r="658" spans="23:31" ht="14.4" customHeight="1">
      <c r="W658" s="25"/>
      <c r="X658" s="25"/>
      <c r="Y658" s="25"/>
      <c r="Z658" s="25"/>
      <c r="AA658" s="25"/>
      <c r="AB658" s="25"/>
      <c r="AC658" s="25"/>
      <c r="AD658" s="25"/>
      <c r="AE658" s="25"/>
    </row>
    <row r="659" spans="23:31" ht="14.4" customHeight="1">
      <c r="W659" s="25"/>
      <c r="X659" s="25"/>
      <c r="Y659" s="25"/>
      <c r="Z659" s="25"/>
      <c r="AA659" s="25"/>
      <c r="AB659" s="25"/>
      <c r="AC659" s="25"/>
      <c r="AD659" s="25"/>
      <c r="AE659" s="25"/>
    </row>
    <row r="660" spans="23:31" ht="14.4" customHeight="1">
      <c r="W660" s="25"/>
      <c r="X660" s="25"/>
      <c r="Y660" s="25"/>
      <c r="Z660" s="25"/>
      <c r="AA660" s="25"/>
      <c r="AB660" s="25"/>
      <c r="AC660" s="25"/>
      <c r="AD660" s="25"/>
      <c r="AE660" s="25"/>
    </row>
    <row r="661" spans="23:31" ht="14.4" customHeight="1">
      <c r="W661" s="25"/>
      <c r="X661" s="25"/>
      <c r="Y661" s="25"/>
      <c r="Z661" s="25"/>
      <c r="AA661" s="25"/>
      <c r="AB661" s="25"/>
      <c r="AC661" s="25"/>
      <c r="AD661" s="25"/>
      <c r="AE661" s="25"/>
    </row>
    <row r="662" spans="23:31" ht="14.4" customHeight="1">
      <c r="W662" s="25"/>
      <c r="X662" s="25"/>
      <c r="Y662" s="25"/>
      <c r="Z662" s="25"/>
      <c r="AA662" s="25"/>
      <c r="AB662" s="25"/>
      <c r="AC662" s="25"/>
      <c r="AD662" s="25"/>
      <c r="AE662" s="25"/>
    </row>
    <row r="663" spans="23:31" ht="14.4" customHeight="1">
      <c r="W663" s="25"/>
      <c r="X663" s="25"/>
      <c r="Y663" s="25"/>
      <c r="Z663" s="25"/>
      <c r="AA663" s="25"/>
      <c r="AB663" s="25"/>
      <c r="AC663" s="25"/>
      <c r="AD663" s="25"/>
      <c r="AE663" s="25"/>
    </row>
    <row r="664" spans="23:31" ht="14.4" customHeight="1">
      <c r="W664" s="25"/>
      <c r="X664" s="25"/>
      <c r="Y664" s="25"/>
      <c r="Z664" s="25"/>
      <c r="AA664" s="25"/>
      <c r="AB664" s="25"/>
      <c r="AC664" s="25"/>
      <c r="AD664" s="25"/>
      <c r="AE664" s="25"/>
    </row>
    <row r="665" spans="23:31" ht="14.4" customHeight="1">
      <c r="W665" s="25"/>
      <c r="X665" s="25"/>
      <c r="Y665" s="25"/>
      <c r="Z665" s="25"/>
      <c r="AA665" s="25"/>
      <c r="AB665" s="25"/>
      <c r="AC665" s="25"/>
      <c r="AD665" s="25"/>
      <c r="AE665" s="25"/>
    </row>
    <row r="666" spans="23:31" ht="14.4" customHeight="1">
      <c r="W666" s="25"/>
      <c r="X666" s="25"/>
      <c r="Y666" s="25"/>
      <c r="Z666" s="25"/>
      <c r="AA666" s="25"/>
      <c r="AB666" s="25"/>
      <c r="AC666" s="25"/>
      <c r="AD666" s="25"/>
      <c r="AE666" s="25"/>
    </row>
    <row r="667" spans="23:31" ht="14.4" customHeight="1">
      <c r="W667" s="25"/>
      <c r="X667" s="25"/>
      <c r="Y667" s="25"/>
      <c r="Z667" s="25"/>
      <c r="AA667" s="25"/>
      <c r="AB667" s="25"/>
      <c r="AC667" s="25"/>
      <c r="AD667" s="25"/>
      <c r="AE667" s="25"/>
    </row>
    <row r="668" spans="23:31" ht="14.4" customHeight="1">
      <c r="W668" s="25"/>
      <c r="X668" s="25"/>
      <c r="Y668" s="25"/>
      <c r="Z668" s="25"/>
      <c r="AA668" s="25"/>
      <c r="AB668" s="25"/>
      <c r="AC668" s="25"/>
      <c r="AD668" s="25"/>
      <c r="AE668" s="25"/>
    </row>
    <row r="669" spans="23:31" ht="14.4" customHeight="1">
      <c r="W669" s="25"/>
      <c r="X669" s="25"/>
      <c r="Y669" s="25"/>
      <c r="Z669" s="25"/>
      <c r="AA669" s="25"/>
      <c r="AB669" s="25"/>
      <c r="AC669" s="25"/>
      <c r="AD669" s="25"/>
      <c r="AE669" s="25"/>
    </row>
    <row r="670" spans="23:31" ht="14.4" customHeight="1">
      <c r="W670" s="25"/>
      <c r="X670" s="25"/>
      <c r="Y670" s="25"/>
      <c r="Z670" s="25"/>
      <c r="AA670" s="25"/>
      <c r="AB670" s="25"/>
      <c r="AC670" s="25"/>
      <c r="AD670" s="25"/>
      <c r="AE670" s="25"/>
    </row>
    <row r="671" spans="23:31" ht="14.4" customHeight="1">
      <c r="W671" s="25"/>
      <c r="X671" s="25"/>
      <c r="Y671" s="25"/>
      <c r="Z671" s="25"/>
      <c r="AA671" s="25"/>
      <c r="AB671" s="25"/>
      <c r="AC671" s="25"/>
      <c r="AD671" s="25"/>
      <c r="AE671" s="25"/>
    </row>
    <row r="672" spans="23:31" ht="14.4" customHeight="1">
      <c r="W672" s="25"/>
      <c r="X672" s="25"/>
      <c r="Y672" s="25"/>
      <c r="Z672" s="25"/>
      <c r="AA672" s="25"/>
      <c r="AB672" s="25"/>
      <c r="AC672" s="25"/>
      <c r="AD672" s="25"/>
      <c r="AE672" s="25"/>
    </row>
    <row r="673" spans="23:31" ht="14.4" customHeight="1">
      <c r="W673" s="25"/>
      <c r="X673" s="25"/>
      <c r="Y673" s="25"/>
      <c r="Z673" s="25"/>
      <c r="AA673" s="25"/>
      <c r="AB673" s="25"/>
      <c r="AC673" s="25"/>
      <c r="AD673" s="25"/>
      <c r="AE673" s="25"/>
    </row>
    <row r="674" spans="23:31" ht="14.4" customHeight="1">
      <c r="W674" s="25"/>
      <c r="X674" s="25"/>
      <c r="Y674" s="25"/>
      <c r="Z674" s="25"/>
      <c r="AA674" s="25"/>
      <c r="AB674" s="25"/>
      <c r="AC674" s="25"/>
      <c r="AD674" s="25"/>
      <c r="AE674" s="25"/>
    </row>
    <row r="675" spans="23:31" ht="14.4" customHeight="1">
      <c r="W675" s="25"/>
      <c r="X675" s="25"/>
      <c r="Y675" s="25"/>
      <c r="Z675" s="25"/>
      <c r="AA675" s="25"/>
      <c r="AB675" s="25"/>
      <c r="AC675" s="25"/>
      <c r="AD675" s="25"/>
      <c r="AE675" s="25"/>
    </row>
    <row r="676" spans="23:31" ht="14.4" customHeight="1">
      <c r="W676" s="25"/>
      <c r="X676" s="25"/>
      <c r="Y676" s="25"/>
      <c r="Z676" s="25"/>
      <c r="AA676" s="25"/>
      <c r="AB676" s="25"/>
      <c r="AC676" s="25"/>
      <c r="AD676" s="25"/>
      <c r="AE676" s="25"/>
    </row>
    <row r="677" spans="23:31" ht="14.4" customHeight="1">
      <c r="W677" s="25"/>
      <c r="X677" s="25"/>
      <c r="Y677" s="25"/>
      <c r="Z677" s="25"/>
      <c r="AA677" s="25"/>
      <c r="AB677" s="25"/>
      <c r="AC677" s="25"/>
      <c r="AD677" s="25"/>
      <c r="AE677" s="25"/>
    </row>
    <row r="678" spans="23:31" ht="14.4" customHeight="1">
      <c r="W678" s="25"/>
      <c r="X678" s="25"/>
      <c r="Y678" s="25"/>
      <c r="Z678" s="25"/>
      <c r="AA678" s="25"/>
      <c r="AB678" s="25"/>
      <c r="AC678" s="25"/>
      <c r="AD678" s="25"/>
      <c r="AE678" s="25"/>
    </row>
    <row r="679" spans="23:31" ht="14.4" customHeight="1">
      <c r="W679" s="25"/>
      <c r="X679" s="25"/>
      <c r="Y679" s="25"/>
      <c r="Z679" s="25"/>
      <c r="AA679" s="25"/>
      <c r="AB679" s="25"/>
      <c r="AC679" s="25"/>
      <c r="AD679" s="25"/>
      <c r="AE679" s="25"/>
    </row>
    <row r="680" spans="23:31" ht="14.4" customHeight="1">
      <c r="W680" s="25"/>
      <c r="X680" s="25"/>
      <c r="Y680" s="25"/>
      <c r="Z680" s="25"/>
      <c r="AA680" s="25"/>
      <c r="AB680" s="25"/>
      <c r="AC680" s="25"/>
      <c r="AD680" s="25"/>
      <c r="AE680" s="25"/>
    </row>
    <row r="681" spans="23:31" ht="14.4" customHeight="1">
      <c r="W681" s="25"/>
      <c r="X681" s="25"/>
      <c r="Y681" s="25"/>
      <c r="Z681" s="25"/>
      <c r="AA681" s="25"/>
      <c r="AB681" s="25"/>
      <c r="AC681" s="25"/>
      <c r="AD681" s="25"/>
      <c r="AE681" s="25"/>
    </row>
    <row r="682" spans="23:31" ht="14.4" customHeight="1">
      <c r="W682" s="25"/>
      <c r="X682" s="25"/>
      <c r="Y682" s="25"/>
      <c r="Z682" s="25"/>
      <c r="AA682" s="25"/>
      <c r="AB682" s="25"/>
      <c r="AC682" s="25"/>
      <c r="AD682" s="25"/>
      <c r="AE682" s="25"/>
    </row>
    <row r="683" spans="23:31" ht="14.4" customHeight="1">
      <c r="W683" s="25"/>
      <c r="X683" s="25"/>
      <c r="Y683" s="25"/>
      <c r="Z683" s="25"/>
      <c r="AA683" s="25"/>
      <c r="AB683" s="25"/>
      <c r="AC683" s="25"/>
      <c r="AD683" s="25"/>
      <c r="AE683" s="25"/>
    </row>
    <row r="684" spans="23:31" ht="14.4" customHeight="1">
      <c r="W684" s="25"/>
      <c r="X684" s="25"/>
      <c r="Y684" s="25"/>
      <c r="Z684" s="25"/>
      <c r="AA684" s="25"/>
      <c r="AB684" s="25"/>
      <c r="AC684" s="25"/>
      <c r="AD684" s="25"/>
      <c r="AE684" s="25"/>
    </row>
    <row r="685" spans="23:31" ht="14.4" customHeight="1">
      <c r="W685" s="25"/>
      <c r="X685" s="25"/>
      <c r="Y685" s="25"/>
      <c r="Z685" s="25"/>
      <c r="AA685" s="25"/>
      <c r="AB685" s="25"/>
      <c r="AC685" s="25"/>
      <c r="AD685" s="25"/>
      <c r="AE685" s="25"/>
    </row>
    <row r="686" spans="23:31" ht="14.4" customHeight="1">
      <c r="W686" s="25"/>
      <c r="X686" s="25"/>
      <c r="Y686" s="25"/>
      <c r="Z686" s="25"/>
      <c r="AA686" s="25"/>
      <c r="AB686" s="25"/>
      <c r="AC686" s="25"/>
      <c r="AD686" s="25"/>
      <c r="AE686" s="25"/>
    </row>
    <row r="687" spans="23:31" ht="14.4" customHeight="1">
      <c r="W687" s="25"/>
      <c r="X687" s="25"/>
      <c r="Y687" s="25"/>
      <c r="Z687" s="25"/>
      <c r="AA687" s="25"/>
      <c r="AB687" s="25"/>
      <c r="AC687" s="25"/>
      <c r="AD687" s="25"/>
      <c r="AE687" s="25"/>
    </row>
    <row r="688" spans="23:31" ht="14.4" customHeight="1">
      <c r="W688" s="25"/>
      <c r="X688" s="25"/>
      <c r="Y688" s="25"/>
      <c r="Z688" s="25"/>
      <c r="AA688" s="25"/>
      <c r="AB688" s="25"/>
      <c r="AC688" s="25"/>
      <c r="AD688" s="25"/>
      <c r="AE688" s="25"/>
    </row>
    <row r="689" spans="23:31" ht="14.4" customHeight="1">
      <c r="W689" s="25"/>
      <c r="X689" s="25"/>
      <c r="Y689" s="25"/>
      <c r="Z689" s="25"/>
      <c r="AA689" s="25"/>
      <c r="AB689" s="25"/>
      <c r="AC689" s="25"/>
      <c r="AD689" s="25"/>
      <c r="AE689" s="25"/>
    </row>
    <row r="690" spans="23:31" ht="14.4" customHeight="1">
      <c r="W690" s="25"/>
      <c r="X690" s="25"/>
      <c r="Y690" s="25"/>
      <c r="Z690" s="25"/>
      <c r="AA690" s="25"/>
      <c r="AB690" s="25"/>
      <c r="AC690" s="25"/>
      <c r="AD690" s="25"/>
      <c r="AE690" s="25"/>
    </row>
    <row r="691" spans="23:31" ht="14.4" customHeight="1">
      <c r="W691" s="25"/>
      <c r="X691" s="25"/>
      <c r="Y691" s="25"/>
      <c r="Z691" s="25"/>
      <c r="AA691" s="25"/>
      <c r="AB691" s="25"/>
      <c r="AC691" s="25"/>
      <c r="AD691" s="25"/>
      <c r="AE691" s="25"/>
    </row>
    <row r="692" spans="23:31" ht="14.4" customHeight="1">
      <c r="W692" s="25"/>
      <c r="X692" s="25"/>
      <c r="Y692" s="25"/>
      <c r="Z692" s="25"/>
      <c r="AA692" s="25"/>
      <c r="AB692" s="25"/>
      <c r="AC692" s="25"/>
      <c r="AD692" s="25"/>
      <c r="AE692" s="25"/>
    </row>
    <row r="693" spans="23:31" ht="14.4" customHeight="1">
      <c r="W693" s="25"/>
      <c r="X693" s="25"/>
      <c r="Y693" s="25"/>
      <c r="Z693" s="25"/>
      <c r="AA693" s="25"/>
      <c r="AB693" s="25"/>
      <c r="AC693" s="25"/>
      <c r="AD693" s="25"/>
      <c r="AE693" s="25"/>
    </row>
    <row r="694" spans="23:31" ht="14.4" customHeight="1">
      <c r="W694" s="25"/>
      <c r="X694" s="25"/>
      <c r="Y694" s="25"/>
      <c r="Z694" s="25"/>
      <c r="AA694" s="25"/>
      <c r="AB694" s="25"/>
      <c r="AC694" s="25"/>
      <c r="AD694" s="25"/>
      <c r="AE694" s="25"/>
    </row>
    <row r="695" spans="23:31" ht="14.4" customHeight="1">
      <c r="W695" s="25"/>
      <c r="X695" s="25"/>
      <c r="Y695" s="25"/>
      <c r="Z695" s="25"/>
      <c r="AA695" s="25"/>
      <c r="AB695" s="25"/>
      <c r="AC695" s="25"/>
      <c r="AD695" s="25"/>
      <c r="AE695" s="25"/>
    </row>
    <row r="696" spans="23:31" ht="14.4" customHeight="1">
      <c r="W696" s="25"/>
      <c r="X696" s="25"/>
      <c r="Y696" s="25"/>
      <c r="Z696" s="25"/>
      <c r="AA696" s="25"/>
      <c r="AB696" s="25"/>
      <c r="AC696" s="25"/>
      <c r="AD696" s="25"/>
      <c r="AE696" s="25"/>
    </row>
    <row r="697" spans="23:31" ht="14.4" customHeight="1">
      <c r="W697" s="25"/>
      <c r="X697" s="25"/>
      <c r="Y697" s="25"/>
      <c r="Z697" s="25"/>
      <c r="AA697" s="25"/>
      <c r="AB697" s="25"/>
      <c r="AC697" s="25"/>
      <c r="AD697" s="25"/>
      <c r="AE697" s="25"/>
    </row>
    <row r="698" spans="23:31" ht="14.4" customHeight="1">
      <c r="W698" s="25"/>
      <c r="X698" s="25"/>
      <c r="Y698" s="25"/>
      <c r="Z698" s="25"/>
      <c r="AA698" s="25"/>
      <c r="AB698" s="25"/>
      <c r="AC698" s="25"/>
      <c r="AD698" s="25"/>
      <c r="AE698" s="25"/>
    </row>
    <row r="699" spans="23:31" ht="14.4" customHeight="1">
      <c r="W699" s="25"/>
      <c r="X699" s="25"/>
      <c r="Y699" s="25"/>
      <c r="Z699" s="25"/>
      <c r="AA699" s="25"/>
      <c r="AB699" s="25"/>
      <c r="AC699" s="25"/>
      <c r="AD699" s="25"/>
      <c r="AE699" s="25"/>
    </row>
    <row r="700" spans="23:31" ht="14.4" customHeight="1">
      <c r="W700" s="25"/>
      <c r="X700" s="25"/>
      <c r="Y700" s="25"/>
      <c r="Z700" s="25"/>
      <c r="AA700" s="25"/>
      <c r="AB700" s="25"/>
      <c r="AC700" s="25"/>
      <c r="AD700" s="25"/>
      <c r="AE700" s="25"/>
    </row>
    <row r="701" spans="23:31" ht="14.4" customHeight="1">
      <c r="W701" s="25"/>
      <c r="X701" s="25"/>
      <c r="Y701" s="25"/>
      <c r="Z701" s="25"/>
      <c r="AA701" s="25"/>
      <c r="AB701" s="25"/>
      <c r="AC701" s="25"/>
      <c r="AD701" s="25"/>
      <c r="AE701" s="25"/>
    </row>
    <row r="702" spans="23:31" ht="14.4" customHeight="1">
      <c r="W702" s="25"/>
      <c r="X702" s="25"/>
      <c r="Y702" s="25"/>
      <c r="Z702" s="25"/>
      <c r="AA702" s="25"/>
      <c r="AB702" s="25"/>
      <c r="AC702" s="25"/>
      <c r="AD702" s="25"/>
      <c r="AE702" s="25"/>
    </row>
    <row r="703" spans="23:31" ht="14.4" customHeight="1">
      <c r="W703" s="25"/>
      <c r="X703" s="25"/>
      <c r="Y703" s="25"/>
      <c r="Z703" s="25"/>
      <c r="AA703" s="25"/>
      <c r="AB703" s="25"/>
      <c r="AC703" s="25"/>
      <c r="AD703" s="25"/>
      <c r="AE703" s="25"/>
    </row>
    <row r="704" spans="23:31" ht="14.4" customHeight="1">
      <c r="W704" s="25"/>
      <c r="X704" s="25"/>
      <c r="Y704" s="25"/>
      <c r="Z704" s="25"/>
      <c r="AA704" s="25"/>
      <c r="AB704" s="25"/>
      <c r="AC704" s="25"/>
      <c r="AD704" s="25"/>
      <c r="AE704" s="25"/>
    </row>
    <row r="705" spans="23:31" ht="14.4" customHeight="1">
      <c r="W705" s="25"/>
      <c r="X705" s="25"/>
      <c r="Y705" s="25"/>
      <c r="Z705" s="25"/>
      <c r="AA705" s="25"/>
      <c r="AB705" s="25"/>
      <c r="AC705" s="25"/>
      <c r="AD705" s="25"/>
      <c r="AE705" s="25"/>
    </row>
    <row r="706" spans="23:31" ht="14.4" customHeight="1">
      <c r="W706" s="25"/>
      <c r="X706" s="25"/>
      <c r="Y706" s="25"/>
      <c r="Z706" s="25"/>
      <c r="AA706" s="25"/>
      <c r="AB706" s="25"/>
      <c r="AC706" s="25"/>
      <c r="AD706" s="25"/>
      <c r="AE706" s="25"/>
    </row>
    <row r="707" spans="23:31" ht="14.4" customHeight="1">
      <c r="W707" s="25"/>
      <c r="X707" s="25"/>
      <c r="Y707" s="25"/>
      <c r="Z707" s="25"/>
      <c r="AA707" s="25"/>
      <c r="AB707" s="25"/>
      <c r="AC707" s="25"/>
      <c r="AD707" s="25"/>
      <c r="AE707" s="25"/>
    </row>
    <row r="708" spans="23:31" ht="14.4" customHeight="1">
      <c r="W708" s="25"/>
      <c r="X708" s="25"/>
      <c r="Y708" s="25"/>
      <c r="Z708" s="25"/>
      <c r="AA708" s="25"/>
      <c r="AB708" s="25"/>
      <c r="AC708" s="25"/>
      <c r="AD708" s="25"/>
      <c r="AE708" s="25"/>
    </row>
    <row r="709" spans="23:31" ht="14.4" customHeight="1">
      <c r="W709" s="25"/>
      <c r="X709" s="25"/>
      <c r="Y709" s="25"/>
      <c r="Z709" s="25"/>
      <c r="AA709" s="25"/>
      <c r="AB709" s="25"/>
      <c r="AC709" s="25"/>
      <c r="AD709" s="25"/>
      <c r="AE709" s="25"/>
    </row>
    <row r="710" spans="23:31" ht="14.4" customHeight="1">
      <c r="W710" s="25"/>
      <c r="X710" s="25"/>
      <c r="Y710" s="25"/>
      <c r="Z710" s="25"/>
      <c r="AA710" s="25"/>
      <c r="AB710" s="25"/>
      <c r="AC710" s="25"/>
      <c r="AD710" s="25"/>
      <c r="AE710" s="25"/>
    </row>
    <row r="711" spans="23:31" ht="14.4" customHeight="1">
      <c r="W711" s="25"/>
      <c r="X711" s="25"/>
      <c r="Y711" s="25"/>
      <c r="Z711" s="25"/>
      <c r="AA711" s="25"/>
      <c r="AB711" s="25"/>
      <c r="AC711" s="25"/>
      <c r="AD711" s="25"/>
      <c r="AE711" s="25"/>
    </row>
    <row r="712" spans="23:31" ht="14.4" customHeight="1">
      <c r="W712" s="25"/>
      <c r="X712" s="25"/>
      <c r="Y712" s="25"/>
      <c r="Z712" s="25"/>
      <c r="AA712" s="25"/>
      <c r="AB712" s="25"/>
      <c r="AC712" s="25"/>
      <c r="AD712" s="25"/>
      <c r="AE712" s="25"/>
    </row>
    <row r="713" spans="23:31" ht="14.4" customHeight="1">
      <c r="W713" s="25"/>
      <c r="X713" s="25"/>
      <c r="Y713" s="25"/>
      <c r="Z713" s="25"/>
      <c r="AA713" s="25"/>
      <c r="AB713" s="25"/>
      <c r="AC713" s="25"/>
      <c r="AD713" s="25"/>
      <c r="AE713" s="25"/>
    </row>
    <row r="714" spans="23:31" ht="14.4" customHeight="1">
      <c r="W714" s="25"/>
      <c r="X714" s="25"/>
      <c r="Y714" s="25"/>
      <c r="Z714" s="25"/>
      <c r="AA714" s="25"/>
      <c r="AB714" s="25"/>
      <c r="AC714" s="25"/>
      <c r="AD714" s="25"/>
      <c r="AE714" s="25"/>
    </row>
    <row r="715" spans="23:31" ht="14.4" customHeight="1">
      <c r="W715" s="25"/>
      <c r="X715" s="25"/>
      <c r="Y715" s="25"/>
      <c r="Z715" s="25"/>
      <c r="AA715" s="25"/>
      <c r="AB715" s="25"/>
      <c r="AC715" s="25"/>
      <c r="AD715" s="25"/>
      <c r="AE715" s="25"/>
    </row>
    <row r="716" spans="23:31" ht="14.4" customHeight="1">
      <c r="W716" s="25"/>
      <c r="X716" s="25"/>
      <c r="Y716" s="25"/>
      <c r="Z716" s="25"/>
      <c r="AA716" s="25"/>
      <c r="AB716" s="25"/>
      <c r="AC716" s="25"/>
      <c r="AD716" s="25"/>
      <c r="AE716" s="25"/>
    </row>
    <row r="717" spans="23:31" ht="14.4" customHeight="1">
      <c r="W717" s="25"/>
      <c r="X717" s="25"/>
      <c r="Y717" s="25"/>
      <c r="Z717" s="25"/>
      <c r="AA717" s="25"/>
      <c r="AB717" s="25"/>
      <c r="AC717" s="25"/>
      <c r="AD717" s="25"/>
      <c r="AE717" s="25"/>
    </row>
    <row r="718" spans="23:31" ht="14.4" customHeight="1">
      <c r="W718" s="25"/>
      <c r="X718" s="25"/>
      <c r="Y718" s="25"/>
      <c r="Z718" s="25"/>
      <c r="AA718" s="25"/>
      <c r="AB718" s="25"/>
      <c r="AC718" s="25"/>
      <c r="AD718" s="25"/>
      <c r="AE718" s="25"/>
    </row>
    <row r="719" spans="23:31" ht="14.4" customHeight="1">
      <c r="W719" s="25"/>
      <c r="X719" s="25"/>
      <c r="Y719" s="25"/>
      <c r="Z719" s="25"/>
      <c r="AA719" s="25"/>
      <c r="AB719" s="25"/>
      <c r="AC719" s="25"/>
      <c r="AD719" s="25"/>
      <c r="AE719" s="25"/>
    </row>
    <row r="720" spans="23:31" ht="14.4" customHeight="1">
      <c r="W720" s="25"/>
      <c r="X720" s="25"/>
      <c r="Y720" s="25"/>
      <c r="Z720" s="25"/>
      <c r="AA720" s="25"/>
      <c r="AB720" s="25"/>
      <c r="AC720" s="25"/>
      <c r="AD720" s="25"/>
      <c r="AE720" s="25"/>
    </row>
    <row r="721" spans="23:31" ht="14.4" customHeight="1">
      <c r="W721" s="25"/>
      <c r="X721" s="25"/>
      <c r="Y721" s="25"/>
      <c r="Z721" s="25"/>
      <c r="AA721" s="25"/>
      <c r="AB721" s="25"/>
      <c r="AC721" s="25"/>
      <c r="AD721" s="25"/>
      <c r="AE721" s="25"/>
    </row>
    <row r="722" spans="23:31" ht="14.4" customHeight="1">
      <c r="W722" s="25"/>
      <c r="X722" s="25"/>
      <c r="Y722" s="25"/>
      <c r="Z722" s="25"/>
      <c r="AA722" s="25"/>
      <c r="AB722" s="25"/>
      <c r="AC722" s="25"/>
      <c r="AD722" s="25"/>
      <c r="AE722" s="25"/>
    </row>
    <row r="723" spans="23:31" ht="14.4" customHeight="1">
      <c r="W723" s="25"/>
      <c r="X723" s="25"/>
      <c r="Y723" s="25"/>
      <c r="Z723" s="25"/>
      <c r="AA723" s="25"/>
      <c r="AB723" s="25"/>
      <c r="AC723" s="25"/>
      <c r="AD723" s="25"/>
      <c r="AE723" s="25"/>
    </row>
    <row r="724" spans="23:31" ht="14.4" customHeight="1">
      <c r="W724" s="25"/>
      <c r="X724" s="25"/>
      <c r="Y724" s="25"/>
      <c r="Z724" s="25"/>
      <c r="AA724" s="25"/>
      <c r="AB724" s="25"/>
      <c r="AC724" s="25"/>
      <c r="AD724" s="25"/>
      <c r="AE724" s="25"/>
    </row>
    <row r="725" spans="23:31" ht="14.4" customHeight="1">
      <c r="W725" s="25"/>
      <c r="X725" s="25"/>
      <c r="Y725" s="25"/>
      <c r="Z725" s="25"/>
      <c r="AA725" s="25"/>
      <c r="AB725" s="25"/>
      <c r="AC725" s="25"/>
      <c r="AD725" s="25"/>
      <c r="AE725" s="25"/>
    </row>
    <row r="726" spans="23:31" ht="14.4" customHeight="1">
      <c r="W726" s="25"/>
      <c r="X726" s="25"/>
      <c r="Y726" s="25"/>
      <c r="Z726" s="25"/>
      <c r="AA726" s="25"/>
      <c r="AB726" s="25"/>
      <c r="AC726" s="25"/>
      <c r="AD726" s="25"/>
      <c r="AE726" s="25"/>
    </row>
    <row r="727" spans="23:31" ht="14.4" customHeight="1">
      <c r="W727" s="25"/>
      <c r="X727" s="25"/>
      <c r="Y727" s="25"/>
      <c r="Z727" s="25"/>
      <c r="AA727" s="25"/>
      <c r="AB727" s="25"/>
      <c r="AC727" s="25"/>
      <c r="AD727" s="25"/>
      <c r="AE727" s="25"/>
    </row>
    <row r="728" spans="23:31" ht="14.4" customHeight="1">
      <c r="W728" s="25"/>
      <c r="X728" s="25"/>
      <c r="Y728" s="25"/>
      <c r="Z728" s="25"/>
      <c r="AA728" s="25"/>
      <c r="AB728" s="25"/>
      <c r="AC728" s="25"/>
      <c r="AD728" s="25"/>
      <c r="AE728" s="25"/>
    </row>
    <row r="729" spans="23:31" ht="14.4" customHeight="1">
      <c r="W729" s="25"/>
      <c r="X729" s="25"/>
      <c r="Y729" s="25"/>
      <c r="Z729" s="25"/>
      <c r="AA729" s="25"/>
      <c r="AB729" s="25"/>
      <c r="AC729" s="25"/>
      <c r="AD729" s="25"/>
      <c r="AE729" s="25"/>
    </row>
    <row r="730" spans="23:31" ht="14.4" customHeight="1">
      <c r="W730" s="25"/>
      <c r="X730" s="25"/>
      <c r="Y730" s="25"/>
      <c r="Z730" s="25"/>
      <c r="AA730" s="25"/>
      <c r="AB730" s="25"/>
      <c r="AC730" s="25"/>
      <c r="AD730" s="25"/>
      <c r="AE730" s="25"/>
    </row>
    <row r="731" spans="23:31" ht="14.4" customHeight="1">
      <c r="W731" s="25"/>
      <c r="X731" s="25"/>
      <c r="Y731" s="25"/>
      <c r="Z731" s="25"/>
      <c r="AA731" s="25"/>
      <c r="AB731" s="25"/>
      <c r="AC731" s="25"/>
      <c r="AD731" s="25"/>
      <c r="AE731" s="25"/>
    </row>
    <row r="732" spans="23:31" ht="14.4" customHeight="1">
      <c r="W732" s="25"/>
      <c r="X732" s="25"/>
      <c r="Y732" s="25"/>
      <c r="Z732" s="25"/>
      <c r="AA732" s="25"/>
      <c r="AB732" s="25"/>
      <c r="AC732" s="25"/>
      <c r="AD732" s="25"/>
      <c r="AE732" s="25"/>
    </row>
    <row r="733" spans="23:31" ht="14.4" customHeight="1">
      <c r="W733" s="25"/>
      <c r="X733" s="25"/>
      <c r="Y733" s="25"/>
      <c r="Z733" s="25"/>
      <c r="AA733" s="25"/>
      <c r="AB733" s="25"/>
      <c r="AC733" s="25"/>
      <c r="AD733" s="25"/>
      <c r="AE733" s="25"/>
    </row>
    <row r="734" spans="23:31" ht="14.4" customHeight="1">
      <c r="W734" s="25"/>
      <c r="X734" s="25"/>
      <c r="Y734" s="25"/>
      <c r="Z734" s="25"/>
      <c r="AA734" s="25"/>
      <c r="AB734" s="25"/>
      <c r="AC734" s="25"/>
      <c r="AD734" s="25"/>
      <c r="AE734" s="25"/>
    </row>
    <row r="735" spans="23:31" ht="14.4" customHeight="1">
      <c r="W735" s="25"/>
      <c r="X735" s="25"/>
      <c r="Y735" s="25"/>
      <c r="Z735" s="25"/>
      <c r="AA735" s="25"/>
      <c r="AB735" s="25"/>
      <c r="AC735" s="25"/>
      <c r="AD735" s="25"/>
      <c r="AE735" s="25"/>
    </row>
    <row r="736" spans="23:31" ht="14.4" customHeight="1">
      <c r="W736" s="25"/>
      <c r="X736" s="25"/>
      <c r="Y736" s="25"/>
      <c r="Z736" s="25"/>
      <c r="AA736" s="25"/>
      <c r="AB736" s="25"/>
      <c r="AC736" s="25"/>
      <c r="AD736" s="25"/>
      <c r="AE736" s="25"/>
    </row>
    <row r="737" spans="23:31" ht="14.4" customHeight="1">
      <c r="W737" s="25"/>
      <c r="X737" s="25"/>
      <c r="Y737" s="25"/>
      <c r="Z737" s="25"/>
      <c r="AA737" s="25"/>
      <c r="AB737" s="25"/>
      <c r="AC737" s="25"/>
      <c r="AD737" s="25"/>
      <c r="AE737" s="25"/>
    </row>
    <row r="738" spans="23:31" ht="14.4" customHeight="1">
      <c r="W738" s="25"/>
      <c r="X738" s="25"/>
      <c r="Y738" s="25"/>
      <c r="Z738" s="25"/>
      <c r="AA738" s="25"/>
      <c r="AB738" s="25"/>
      <c r="AC738" s="25"/>
      <c r="AD738" s="25"/>
      <c r="AE738" s="25"/>
    </row>
    <row r="739" spans="23:31" ht="14.4" customHeight="1">
      <c r="W739" s="25"/>
      <c r="X739" s="25"/>
      <c r="Y739" s="25"/>
      <c r="Z739" s="25"/>
      <c r="AA739" s="25"/>
      <c r="AB739" s="25"/>
      <c r="AC739" s="25"/>
      <c r="AD739" s="25"/>
      <c r="AE739" s="25"/>
    </row>
    <row r="740" spans="23:31" ht="14.4" customHeight="1">
      <c r="W740" s="25"/>
      <c r="X740" s="25"/>
      <c r="Y740" s="25"/>
      <c r="Z740" s="25"/>
      <c r="AA740" s="25"/>
      <c r="AB740" s="25"/>
      <c r="AC740" s="25"/>
      <c r="AD740" s="25"/>
      <c r="AE740" s="25"/>
    </row>
    <row r="741" spans="23:31" ht="14.4" customHeight="1">
      <c r="W741" s="25"/>
      <c r="X741" s="25"/>
      <c r="Y741" s="25"/>
      <c r="Z741" s="25"/>
      <c r="AA741" s="25"/>
      <c r="AB741" s="25"/>
      <c r="AC741" s="25"/>
      <c r="AD741" s="25"/>
      <c r="AE741" s="25"/>
    </row>
    <row r="742" spans="23:31" ht="14.4" customHeight="1">
      <c r="W742" s="25"/>
      <c r="X742" s="25"/>
      <c r="Y742" s="25"/>
      <c r="Z742" s="25"/>
      <c r="AA742" s="25"/>
      <c r="AB742" s="25"/>
      <c r="AC742" s="25"/>
      <c r="AD742" s="25"/>
      <c r="AE742" s="25"/>
    </row>
    <row r="743" spans="23:31" ht="14.4" customHeight="1">
      <c r="W743" s="25"/>
      <c r="X743" s="25"/>
      <c r="Y743" s="25"/>
      <c r="Z743" s="25"/>
      <c r="AA743" s="25"/>
      <c r="AB743" s="25"/>
      <c r="AC743" s="25"/>
      <c r="AD743" s="25"/>
      <c r="AE743" s="25"/>
    </row>
    <row r="744" spans="23:31" ht="14.4" customHeight="1">
      <c r="W744" s="25"/>
      <c r="X744" s="25"/>
      <c r="Y744" s="25"/>
      <c r="Z744" s="25"/>
      <c r="AA744" s="25"/>
      <c r="AB744" s="25"/>
      <c r="AC744" s="25"/>
      <c r="AD744" s="25"/>
      <c r="AE744" s="25"/>
    </row>
    <row r="745" spans="23:31" ht="14.4" customHeight="1">
      <c r="W745" s="25"/>
      <c r="X745" s="25"/>
      <c r="Y745" s="25"/>
      <c r="Z745" s="25"/>
      <c r="AA745" s="25"/>
      <c r="AB745" s="25"/>
      <c r="AC745" s="25"/>
      <c r="AD745" s="25"/>
      <c r="AE745" s="25"/>
    </row>
    <row r="746" spans="23:31" ht="14.4" customHeight="1">
      <c r="W746" s="25"/>
      <c r="X746" s="25"/>
      <c r="Y746" s="25"/>
      <c r="Z746" s="25"/>
      <c r="AA746" s="25"/>
      <c r="AB746" s="25"/>
      <c r="AC746" s="25"/>
      <c r="AD746" s="25"/>
      <c r="AE746" s="25"/>
    </row>
    <row r="747" spans="23:31" ht="14.4" customHeight="1">
      <c r="W747" s="25"/>
      <c r="X747" s="25"/>
      <c r="Y747" s="25"/>
      <c r="Z747" s="25"/>
      <c r="AA747" s="25"/>
      <c r="AB747" s="25"/>
      <c r="AC747" s="25"/>
      <c r="AD747" s="25"/>
      <c r="AE747" s="25"/>
    </row>
    <row r="748" spans="23:31" ht="14.4" customHeight="1">
      <c r="W748" s="25"/>
      <c r="X748" s="25"/>
      <c r="Y748" s="25"/>
      <c r="Z748" s="25"/>
      <c r="AA748" s="25"/>
      <c r="AB748" s="25"/>
      <c r="AC748" s="25"/>
      <c r="AD748" s="25"/>
      <c r="AE748" s="25"/>
    </row>
    <row r="749" spans="23:31" ht="14.4" customHeight="1">
      <c r="W749" s="25"/>
      <c r="X749" s="25"/>
      <c r="Y749" s="25"/>
      <c r="Z749" s="25"/>
      <c r="AA749" s="25"/>
      <c r="AB749" s="25"/>
      <c r="AC749" s="25"/>
      <c r="AD749" s="25"/>
      <c r="AE749" s="25"/>
    </row>
    <row r="750" spans="23:31" ht="14.4" customHeight="1">
      <c r="W750" s="25"/>
      <c r="X750" s="25"/>
      <c r="Y750" s="25"/>
      <c r="Z750" s="25"/>
      <c r="AA750" s="25"/>
      <c r="AB750" s="25"/>
      <c r="AC750" s="25"/>
      <c r="AD750" s="25"/>
      <c r="AE750" s="25"/>
    </row>
    <row r="751" spans="23:31" ht="14.4" customHeight="1">
      <c r="W751" s="25"/>
      <c r="X751" s="25"/>
      <c r="Y751" s="25"/>
      <c r="Z751" s="25"/>
      <c r="AA751" s="25"/>
      <c r="AB751" s="25"/>
      <c r="AC751" s="25"/>
      <c r="AD751" s="25"/>
      <c r="AE751" s="25"/>
    </row>
    <row r="752" spans="23:31" ht="14.4" customHeight="1">
      <c r="W752" s="25"/>
      <c r="X752" s="25"/>
      <c r="Y752" s="25"/>
      <c r="Z752" s="25"/>
      <c r="AA752" s="25"/>
      <c r="AB752" s="25"/>
      <c r="AC752" s="25"/>
      <c r="AD752" s="25"/>
      <c r="AE752" s="25"/>
    </row>
    <row r="753" spans="23:31" ht="14.4" customHeight="1">
      <c r="W753" s="25"/>
      <c r="X753" s="25"/>
      <c r="Y753" s="25"/>
      <c r="Z753" s="25"/>
      <c r="AA753" s="25"/>
      <c r="AB753" s="25"/>
      <c r="AC753" s="25"/>
      <c r="AD753" s="25"/>
      <c r="AE753" s="25"/>
    </row>
    <row r="754" spans="23:31" ht="14.4" customHeight="1">
      <c r="W754" s="25"/>
      <c r="X754" s="25"/>
      <c r="Y754" s="25"/>
      <c r="Z754" s="25"/>
      <c r="AA754" s="25"/>
      <c r="AB754" s="25"/>
      <c r="AC754" s="25"/>
      <c r="AD754" s="25"/>
      <c r="AE754" s="25"/>
    </row>
    <row r="755" spans="23:31" ht="14.4" customHeight="1">
      <c r="W755" s="25"/>
      <c r="X755" s="25"/>
      <c r="Y755" s="25"/>
      <c r="Z755" s="25"/>
      <c r="AA755" s="25"/>
      <c r="AB755" s="25"/>
      <c r="AC755" s="25"/>
      <c r="AD755" s="25"/>
      <c r="AE755" s="25"/>
    </row>
    <row r="756" spans="23:31" ht="14.4" customHeight="1">
      <c r="W756" s="25"/>
      <c r="X756" s="25"/>
      <c r="Y756" s="25"/>
      <c r="Z756" s="25"/>
      <c r="AA756" s="25"/>
      <c r="AB756" s="25"/>
      <c r="AC756" s="25"/>
      <c r="AD756" s="25"/>
      <c r="AE756" s="25"/>
    </row>
    <row r="757" spans="23:31" ht="14.4" customHeight="1">
      <c r="W757" s="25"/>
      <c r="X757" s="25"/>
      <c r="Y757" s="25"/>
      <c r="Z757" s="25"/>
      <c r="AA757" s="25"/>
      <c r="AB757" s="25"/>
      <c r="AC757" s="25"/>
      <c r="AD757" s="25"/>
      <c r="AE757" s="25"/>
    </row>
    <row r="758" spans="23:31" ht="14.4" customHeight="1">
      <c r="W758" s="25"/>
      <c r="X758" s="25"/>
      <c r="Y758" s="25"/>
      <c r="Z758" s="25"/>
      <c r="AA758" s="25"/>
      <c r="AB758" s="25"/>
      <c r="AC758" s="25"/>
      <c r="AD758" s="25"/>
      <c r="AE758" s="25"/>
    </row>
    <row r="759" spans="23:31" ht="14.4" customHeight="1">
      <c r="W759" s="25"/>
      <c r="X759" s="25"/>
      <c r="Y759" s="25"/>
      <c r="Z759" s="25"/>
      <c r="AA759" s="25"/>
      <c r="AB759" s="25"/>
      <c r="AC759" s="25"/>
      <c r="AD759" s="25"/>
      <c r="AE759" s="25"/>
    </row>
    <row r="760" spans="23:31" ht="14.4" customHeight="1">
      <c r="W760" s="25"/>
      <c r="X760" s="25"/>
      <c r="Y760" s="25"/>
      <c r="Z760" s="25"/>
      <c r="AA760" s="25"/>
      <c r="AB760" s="25"/>
      <c r="AC760" s="25"/>
      <c r="AD760" s="25"/>
      <c r="AE760" s="25"/>
    </row>
    <row r="761" spans="23:31" ht="14.4" customHeight="1">
      <c r="W761" s="25"/>
      <c r="X761" s="25"/>
      <c r="Y761" s="25"/>
      <c r="Z761" s="25"/>
      <c r="AA761" s="25"/>
      <c r="AB761" s="25"/>
      <c r="AC761" s="25"/>
      <c r="AD761" s="25"/>
      <c r="AE761" s="25"/>
    </row>
    <row r="762" spans="23:31" ht="14.4" customHeight="1">
      <c r="W762" s="25"/>
      <c r="X762" s="25"/>
      <c r="Y762" s="25"/>
      <c r="Z762" s="25"/>
      <c r="AA762" s="25"/>
      <c r="AB762" s="25"/>
      <c r="AC762" s="25"/>
      <c r="AD762" s="25"/>
      <c r="AE762" s="25"/>
    </row>
    <row r="763" spans="23:31" ht="14.4" customHeight="1">
      <c r="W763" s="25"/>
      <c r="X763" s="25"/>
      <c r="Y763" s="25"/>
      <c r="Z763" s="25"/>
      <c r="AA763" s="25"/>
      <c r="AB763" s="25"/>
      <c r="AC763" s="25"/>
      <c r="AD763" s="25"/>
      <c r="AE763" s="25"/>
    </row>
    <row r="764" spans="23:31" ht="14.4" customHeight="1">
      <c r="W764" s="25"/>
      <c r="X764" s="25"/>
      <c r="Y764" s="25"/>
      <c r="Z764" s="25"/>
      <c r="AA764" s="25"/>
      <c r="AB764" s="25"/>
      <c r="AC764" s="25"/>
      <c r="AD764" s="25"/>
      <c r="AE764" s="25"/>
    </row>
    <row r="765" spans="23:31" ht="14.4" customHeight="1">
      <c r="W765" s="25"/>
      <c r="X765" s="25"/>
      <c r="Y765" s="25"/>
      <c r="Z765" s="25"/>
      <c r="AA765" s="25"/>
      <c r="AB765" s="25"/>
      <c r="AC765" s="25"/>
      <c r="AD765" s="25"/>
      <c r="AE765" s="25"/>
    </row>
    <row r="766" spans="23:31" ht="14.4" customHeight="1">
      <c r="W766" s="25"/>
      <c r="X766" s="25"/>
      <c r="Y766" s="25"/>
      <c r="Z766" s="25"/>
      <c r="AA766" s="25"/>
      <c r="AB766" s="25"/>
      <c r="AC766" s="25"/>
      <c r="AD766" s="25"/>
      <c r="AE766" s="25"/>
    </row>
    <row r="767" spans="23:31" ht="14.4" customHeight="1">
      <c r="W767" s="25"/>
      <c r="X767" s="25"/>
      <c r="Y767" s="25"/>
      <c r="Z767" s="25"/>
      <c r="AA767" s="25"/>
      <c r="AB767" s="25"/>
      <c r="AC767" s="25"/>
      <c r="AD767" s="25"/>
      <c r="AE767" s="25"/>
    </row>
    <row r="768" spans="23:31" ht="14.4" customHeight="1">
      <c r="W768" s="25"/>
      <c r="X768" s="25"/>
      <c r="Y768" s="25"/>
      <c r="Z768" s="25"/>
      <c r="AA768" s="25"/>
      <c r="AB768" s="25"/>
      <c r="AC768" s="25"/>
      <c r="AD768" s="25"/>
      <c r="AE768" s="25"/>
    </row>
    <row r="769" spans="23:31" ht="14.4" customHeight="1">
      <c r="W769" s="25"/>
      <c r="X769" s="25"/>
      <c r="Y769" s="25"/>
      <c r="Z769" s="25"/>
      <c r="AA769" s="25"/>
      <c r="AB769" s="25"/>
      <c r="AC769" s="25"/>
      <c r="AD769" s="25"/>
      <c r="AE769" s="25"/>
    </row>
    <row r="770" spans="23:31" ht="14.4" customHeight="1">
      <c r="W770" s="25"/>
      <c r="X770" s="25"/>
      <c r="Y770" s="25"/>
      <c r="Z770" s="25"/>
      <c r="AA770" s="25"/>
      <c r="AB770" s="25"/>
      <c r="AC770" s="25"/>
      <c r="AD770" s="25"/>
      <c r="AE770" s="25"/>
    </row>
    <row r="771" spans="23:31" ht="14.4" customHeight="1">
      <c r="W771" s="25"/>
      <c r="X771" s="25"/>
      <c r="Y771" s="25"/>
      <c r="Z771" s="25"/>
      <c r="AA771" s="25"/>
      <c r="AB771" s="25"/>
      <c r="AC771" s="25"/>
      <c r="AD771" s="25"/>
      <c r="AE771" s="25"/>
    </row>
    <row r="772" spans="23:31" ht="14.4" customHeight="1">
      <c r="W772" s="25"/>
      <c r="X772" s="25"/>
      <c r="Y772" s="25"/>
      <c r="Z772" s="25"/>
      <c r="AA772" s="25"/>
      <c r="AB772" s="25"/>
      <c r="AC772" s="25"/>
      <c r="AD772" s="25"/>
      <c r="AE772" s="25"/>
    </row>
    <row r="773" spans="23:31" ht="14.4" customHeight="1">
      <c r="W773" s="25"/>
      <c r="X773" s="25"/>
      <c r="Y773" s="25"/>
      <c r="Z773" s="25"/>
      <c r="AA773" s="25"/>
      <c r="AB773" s="25"/>
      <c r="AC773" s="25"/>
      <c r="AD773" s="25"/>
      <c r="AE773" s="25"/>
    </row>
    <row r="774" spans="23:31" ht="14.4" customHeight="1">
      <c r="W774" s="25"/>
      <c r="X774" s="25"/>
      <c r="Y774" s="25"/>
      <c r="Z774" s="25"/>
      <c r="AA774" s="25"/>
      <c r="AB774" s="25"/>
      <c r="AC774" s="25"/>
      <c r="AD774" s="25"/>
      <c r="AE774" s="25"/>
    </row>
    <row r="775" spans="23:31" ht="14.4" customHeight="1">
      <c r="W775" s="25"/>
      <c r="X775" s="25"/>
      <c r="Y775" s="25"/>
      <c r="Z775" s="25"/>
      <c r="AA775" s="25"/>
      <c r="AB775" s="25"/>
      <c r="AC775" s="25"/>
      <c r="AD775" s="25"/>
      <c r="AE775" s="25"/>
    </row>
    <row r="776" spans="23:31" ht="14.4" customHeight="1">
      <c r="W776" s="25"/>
      <c r="X776" s="25"/>
      <c r="Y776" s="25"/>
      <c r="Z776" s="25"/>
      <c r="AA776" s="25"/>
      <c r="AB776" s="25"/>
      <c r="AC776" s="25"/>
      <c r="AD776" s="25"/>
      <c r="AE776" s="25"/>
    </row>
    <row r="777" spans="23:31" ht="14.4" customHeight="1">
      <c r="W777" s="25"/>
      <c r="X777" s="25"/>
      <c r="Y777" s="25"/>
      <c r="Z777" s="25"/>
      <c r="AA777" s="25"/>
      <c r="AB777" s="25"/>
      <c r="AC777" s="25"/>
      <c r="AD777" s="25"/>
      <c r="AE777" s="25"/>
    </row>
    <row r="778" spans="23:31" ht="14.4" customHeight="1">
      <c r="W778" s="25"/>
      <c r="X778" s="25"/>
      <c r="Y778" s="25"/>
      <c r="Z778" s="25"/>
      <c r="AA778" s="25"/>
      <c r="AB778" s="25"/>
      <c r="AC778" s="25"/>
      <c r="AD778" s="25"/>
      <c r="AE778" s="25"/>
    </row>
    <row r="779" spans="23:31" ht="14.4" customHeight="1">
      <c r="W779" s="25"/>
      <c r="X779" s="25"/>
      <c r="Y779" s="25"/>
      <c r="Z779" s="25"/>
      <c r="AA779" s="25"/>
      <c r="AB779" s="25"/>
      <c r="AC779" s="25"/>
      <c r="AD779" s="25"/>
      <c r="AE779" s="25"/>
    </row>
    <row r="780" spans="23:31" ht="14.4" customHeight="1">
      <c r="W780" s="25"/>
      <c r="X780" s="25"/>
      <c r="Y780" s="25"/>
      <c r="Z780" s="25"/>
      <c r="AA780" s="25"/>
      <c r="AB780" s="25"/>
      <c r="AC780" s="25"/>
      <c r="AD780" s="25"/>
      <c r="AE780" s="25"/>
    </row>
    <row r="781" spans="23:31" ht="14.4" customHeight="1">
      <c r="W781" s="25"/>
      <c r="X781" s="25"/>
      <c r="Y781" s="25"/>
      <c r="Z781" s="25"/>
      <c r="AA781" s="25"/>
      <c r="AB781" s="25"/>
      <c r="AC781" s="25"/>
      <c r="AD781" s="25"/>
      <c r="AE781" s="25"/>
    </row>
    <row r="782" spans="23:31" ht="14.4" customHeight="1">
      <c r="W782" s="25"/>
      <c r="X782" s="25"/>
      <c r="Y782" s="25"/>
      <c r="Z782" s="25"/>
      <c r="AA782" s="25"/>
      <c r="AB782" s="25"/>
      <c r="AC782" s="25"/>
      <c r="AD782" s="25"/>
      <c r="AE782" s="25"/>
    </row>
    <row r="783" spans="23:31" ht="14.4" customHeight="1">
      <c r="W783" s="25"/>
      <c r="X783" s="25"/>
      <c r="Y783" s="25"/>
      <c r="Z783" s="25"/>
      <c r="AA783" s="25"/>
      <c r="AB783" s="25"/>
      <c r="AC783" s="25"/>
      <c r="AD783" s="25"/>
      <c r="AE783" s="25"/>
    </row>
    <row r="784" spans="23:31" ht="14.4" customHeight="1">
      <c r="W784" s="25"/>
      <c r="X784" s="25"/>
      <c r="Y784" s="25"/>
      <c r="Z784" s="25"/>
      <c r="AA784" s="25"/>
      <c r="AB784" s="25"/>
      <c r="AC784" s="25"/>
      <c r="AD784" s="25"/>
      <c r="AE784" s="25"/>
    </row>
    <row r="785" spans="23:31" ht="14.4" customHeight="1">
      <c r="W785" s="25"/>
      <c r="X785" s="25"/>
      <c r="Y785" s="25"/>
      <c r="Z785" s="25"/>
      <c r="AA785" s="25"/>
      <c r="AB785" s="25"/>
      <c r="AC785" s="25"/>
      <c r="AD785" s="25"/>
      <c r="AE785" s="25"/>
    </row>
    <row r="786" spans="23:31" ht="14.4" customHeight="1">
      <c r="W786" s="25"/>
      <c r="X786" s="25"/>
      <c r="Y786" s="25"/>
      <c r="Z786" s="25"/>
      <c r="AA786" s="25"/>
      <c r="AB786" s="25"/>
      <c r="AC786" s="25"/>
      <c r="AD786" s="25"/>
      <c r="AE786" s="25"/>
    </row>
    <row r="787" spans="23:31" ht="14.4" customHeight="1">
      <c r="W787" s="25"/>
      <c r="X787" s="25"/>
      <c r="Y787" s="25"/>
      <c r="Z787" s="25"/>
      <c r="AA787" s="25"/>
      <c r="AB787" s="25"/>
      <c r="AC787" s="25"/>
      <c r="AD787" s="25"/>
      <c r="AE787" s="25"/>
    </row>
    <row r="788" spans="23:31" ht="14.4" customHeight="1">
      <c r="W788" s="25"/>
      <c r="X788" s="25"/>
      <c r="Y788" s="25"/>
      <c r="Z788" s="25"/>
      <c r="AA788" s="25"/>
      <c r="AB788" s="25"/>
      <c r="AC788" s="25"/>
      <c r="AD788" s="25"/>
      <c r="AE788" s="25"/>
    </row>
    <row r="789" spans="23:31" ht="14.4" customHeight="1">
      <c r="W789" s="25"/>
      <c r="X789" s="25"/>
      <c r="Y789" s="25"/>
      <c r="Z789" s="25"/>
      <c r="AA789" s="25"/>
      <c r="AB789" s="25"/>
      <c r="AC789" s="25"/>
      <c r="AD789" s="25"/>
      <c r="AE789" s="25"/>
    </row>
    <row r="790" spans="23:31" ht="14.4" customHeight="1">
      <c r="W790" s="25"/>
      <c r="X790" s="25"/>
      <c r="Y790" s="25"/>
      <c r="Z790" s="25"/>
      <c r="AA790" s="25"/>
      <c r="AB790" s="25"/>
      <c r="AC790" s="25"/>
      <c r="AD790" s="25"/>
      <c r="AE790" s="25"/>
    </row>
    <row r="791" spans="23:31" ht="14.4" customHeight="1">
      <c r="W791" s="25"/>
      <c r="X791" s="25"/>
      <c r="Y791" s="25"/>
      <c r="Z791" s="25"/>
      <c r="AA791" s="25"/>
      <c r="AB791" s="25"/>
      <c r="AC791" s="25"/>
      <c r="AD791" s="25"/>
      <c r="AE791" s="25"/>
    </row>
    <row r="792" spans="23:31" ht="14.4" customHeight="1">
      <c r="W792" s="25"/>
      <c r="X792" s="25"/>
      <c r="Y792" s="25"/>
      <c r="Z792" s="25"/>
      <c r="AA792" s="25"/>
      <c r="AB792" s="25"/>
      <c r="AC792" s="25"/>
      <c r="AD792" s="25"/>
      <c r="AE792" s="25"/>
    </row>
    <row r="793" spans="23:31" ht="14.4" customHeight="1">
      <c r="W793" s="25"/>
      <c r="X793" s="25"/>
      <c r="Y793" s="25"/>
      <c r="Z793" s="25"/>
      <c r="AA793" s="25"/>
      <c r="AB793" s="25"/>
      <c r="AC793" s="25"/>
      <c r="AD793" s="25"/>
      <c r="AE793" s="25"/>
    </row>
    <row r="794" spans="23:31" ht="14.4" customHeight="1">
      <c r="W794" s="25"/>
      <c r="X794" s="25"/>
      <c r="Y794" s="25"/>
      <c r="Z794" s="25"/>
      <c r="AA794" s="25"/>
      <c r="AB794" s="25"/>
      <c r="AC794" s="25"/>
      <c r="AD794" s="25"/>
      <c r="AE794" s="25"/>
    </row>
    <row r="795" spans="23:31" ht="14.4" customHeight="1">
      <c r="W795" s="25"/>
      <c r="X795" s="25"/>
      <c r="Y795" s="25"/>
      <c r="Z795" s="25"/>
      <c r="AA795" s="25"/>
      <c r="AB795" s="25"/>
      <c r="AC795" s="25"/>
      <c r="AD795" s="25"/>
      <c r="AE795" s="25"/>
    </row>
    <row r="796" spans="23:31" ht="14.4" customHeight="1">
      <c r="W796" s="25"/>
      <c r="X796" s="25"/>
      <c r="Y796" s="25"/>
      <c r="Z796" s="25"/>
      <c r="AA796" s="25"/>
      <c r="AB796" s="25"/>
      <c r="AC796" s="25"/>
      <c r="AD796" s="25"/>
      <c r="AE796" s="25"/>
    </row>
    <row r="797" spans="23:31" ht="14.4" customHeight="1">
      <c r="W797" s="25"/>
      <c r="X797" s="25"/>
      <c r="Y797" s="25"/>
      <c r="Z797" s="25"/>
      <c r="AA797" s="25"/>
      <c r="AB797" s="25"/>
      <c r="AC797" s="25"/>
      <c r="AD797" s="25"/>
      <c r="AE797" s="25"/>
    </row>
    <row r="798" spans="23:31" ht="14.4" customHeight="1">
      <c r="W798" s="25"/>
      <c r="X798" s="25"/>
      <c r="Y798" s="25"/>
      <c r="Z798" s="25"/>
      <c r="AA798" s="25"/>
      <c r="AB798" s="25"/>
      <c r="AC798" s="25"/>
      <c r="AD798" s="25"/>
      <c r="AE798" s="25"/>
    </row>
    <row r="799" spans="23:31" ht="14.4" customHeight="1">
      <c r="W799" s="25"/>
      <c r="X799" s="25"/>
      <c r="Y799" s="25"/>
      <c r="Z799" s="25"/>
      <c r="AA799" s="25"/>
      <c r="AB799" s="25"/>
      <c r="AC799" s="25"/>
      <c r="AD799" s="25"/>
      <c r="AE799" s="25"/>
    </row>
    <row r="800" spans="23:31" ht="14.4" customHeight="1">
      <c r="W800" s="25"/>
      <c r="X800" s="25"/>
      <c r="Y800" s="25"/>
      <c r="Z800" s="25"/>
      <c r="AA800" s="25"/>
      <c r="AB800" s="25"/>
      <c r="AC800" s="25"/>
      <c r="AD800" s="25"/>
      <c r="AE800" s="25"/>
    </row>
    <row r="801" spans="23:31" ht="14.4" customHeight="1">
      <c r="W801" s="25"/>
      <c r="X801" s="25"/>
      <c r="Y801" s="25"/>
      <c r="Z801" s="25"/>
      <c r="AA801" s="25"/>
      <c r="AB801" s="25"/>
      <c r="AC801" s="25"/>
      <c r="AD801" s="25"/>
      <c r="AE801" s="25"/>
    </row>
    <row r="802" spans="23:31" ht="14.4" customHeight="1">
      <c r="W802" s="25"/>
      <c r="X802" s="25"/>
      <c r="Y802" s="25"/>
      <c r="Z802" s="25"/>
      <c r="AA802" s="25"/>
      <c r="AB802" s="25"/>
      <c r="AC802" s="25"/>
      <c r="AD802" s="25"/>
      <c r="AE802" s="25"/>
    </row>
    <row r="803" spans="23:31" ht="14.4" customHeight="1">
      <c r="W803" s="25"/>
      <c r="X803" s="25"/>
      <c r="Y803" s="25"/>
      <c r="Z803" s="25"/>
      <c r="AA803" s="25"/>
      <c r="AB803" s="25"/>
      <c r="AC803" s="25"/>
      <c r="AD803" s="25"/>
      <c r="AE803" s="25"/>
    </row>
    <row r="804" spans="23:31" ht="14.4" customHeight="1">
      <c r="W804" s="25"/>
      <c r="X804" s="25"/>
      <c r="Y804" s="25"/>
      <c r="Z804" s="25"/>
      <c r="AA804" s="25"/>
      <c r="AB804" s="25"/>
      <c r="AC804" s="25"/>
      <c r="AD804" s="25"/>
      <c r="AE804" s="25"/>
    </row>
    <row r="805" spans="23:31" ht="14.4" customHeight="1">
      <c r="W805" s="25"/>
      <c r="X805" s="25"/>
      <c r="Y805" s="25"/>
      <c r="Z805" s="25"/>
      <c r="AA805" s="25"/>
      <c r="AB805" s="25"/>
      <c r="AC805" s="25"/>
      <c r="AD805" s="25"/>
      <c r="AE805" s="25"/>
    </row>
    <row r="806" spans="23:31" ht="14.4" customHeight="1">
      <c r="W806" s="25"/>
      <c r="X806" s="25"/>
      <c r="Y806" s="25"/>
      <c r="Z806" s="25"/>
      <c r="AA806" s="25"/>
      <c r="AB806" s="25"/>
      <c r="AC806" s="25"/>
      <c r="AD806" s="25"/>
      <c r="AE806" s="25"/>
    </row>
    <row r="807" spans="23:31" ht="14.4" customHeight="1">
      <c r="W807" s="25"/>
      <c r="X807" s="25"/>
      <c r="Y807" s="25"/>
      <c r="Z807" s="25"/>
      <c r="AA807" s="25"/>
      <c r="AB807" s="25"/>
      <c r="AC807" s="25"/>
      <c r="AD807" s="25"/>
      <c r="AE807" s="25"/>
    </row>
    <row r="808" spans="23:31" ht="14.4" customHeight="1">
      <c r="W808" s="25"/>
      <c r="X808" s="25"/>
      <c r="Y808" s="25"/>
      <c r="Z808" s="25"/>
      <c r="AA808" s="25"/>
      <c r="AB808" s="25"/>
      <c r="AC808" s="25"/>
      <c r="AD808" s="25"/>
      <c r="AE808" s="25"/>
    </row>
    <row r="809" spans="23:31" ht="14.4" customHeight="1">
      <c r="W809" s="25"/>
      <c r="X809" s="25"/>
      <c r="Y809" s="25"/>
      <c r="Z809" s="25"/>
      <c r="AA809" s="25"/>
      <c r="AB809" s="25"/>
      <c r="AC809" s="25"/>
      <c r="AD809" s="25"/>
      <c r="AE809" s="25"/>
    </row>
    <row r="810" spans="23:31" ht="14.4" customHeight="1">
      <c r="W810" s="25"/>
      <c r="X810" s="25"/>
      <c r="Y810" s="25"/>
      <c r="Z810" s="25"/>
      <c r="AA810" s="25"/>
      <c r="AB810" s="25"/>
      <c r="AC810" s="25"/>
      <c r="AD810" s="25"/>
      <c r="AE810" s="25"/>
    </row>
    <row r="811" spans="23:31" ht="14.4" customHeight="1">
      <c r="W811" s="25"/>
      <c r="X811" s="25"/>
      <c r="Y811" s="25"/>
      <c r="Z811" s="25"/>
      <c r="AA811" s="25"/>
      <c r="AB811" s="25"/>
      <c r="AC811" s="25"/>
      <c r="AD811" s="25"/>
      <c r="AE811" s="25"/>
    </row>
    <row r="812" spans="23:31" ht="14.4" customHeight="1">
      <c r="W812" s="25"/>
      <c r="X812" s="25"/>
      <c r="Y812" s="25"/>
      <c r="Z812" s="25"/>
      <c r="AA812" s="25"/>
      <c r="AB812" s="25"/>
      <c r="AC812" s="25"/>
      <c r="AD812" s="25"/>
      <c r="AE812" s="25"/>
    </row>
    <row r="813" spans="23:31" ht="14.4" customHeight="1">
      <c r="W813" s="25"/>
      <c r="X813" s="25"/>
      <c r="Y813" s="25"/>
      <c r="Z813" s="25"/>
      <c r="AA813" s="25"/>
      <c r="AB813" s="25"/>
      <c r="AC813" s="25"/>
      <c r="AD813" s="25"/>
      <c r="AE813" s="25"/>
    </row>
    <row r="814" spans="23:31" ht="14.4" customHeight="1">
      <c r="W814" s="25"/>
      <c r="X814" s="25"/>
      <c r="Y814" s="25"/>
      <c r="Z814" s="25"/>
      <c r="AA814" s="25"/>
      <c r="AB814" s="25"/>
      <c r="AC814" s="25"/>
      <c r="AD814" s="25"/>
      <c r="AE814" s="25"/>
    </row>
    <row r="815" spans="23:31" ht="14.4" customHeight="1">
      <c r="W815" s="25"/>
      <c r="X815" s="25"/>
      <c r="Y815" s="25"/>
      <c r="Z815" s="25"/>
      <c r="AA815" s="25"/>
      <c r="AB815" s="25"/>
      <c r="AC815" s="25"/>
      <c r="AD815" s="25"/>
      <c r="AE815" s="25"/>
    </row>
    <row r="816" spans="23:31" ht="14.4" customHeight="1">
      <c r="W816" s="25"/>
      <c r="X816" s="25"/>
      <c r="Y816" s="25"/>
      <c r="Z816" s="25"/>
      <c r="AA816" s="25"/>
      <c r="AB816" s="25"/>
      <c r="AC816" s="25"/>
      <c r="AD816" s="25"/>
      <c r="AE816" s="25"/>
    </row>
    <row r="817" spans="23:31" ht="14.4" customHeight="1">
      <c r="W817" s="25"/>
      <c r="X817" s="25"/>
      <c r="Y817" s="25"/>
      <c r="Z817" s="25"/>
      <c r="AA817" s="25"/>
      <c r="AB817" s="25"/>
      <c r="AC817" s="25"/>
      <c r="AD817" s="25"/>
      <c r="AE817" s="25"/>
    </row>
    <row r="818" spans="23:31" ht="14.4" customHeight="1">
      <c r="W818" s="25"/>
      <c r="X818" s="25"/>
      <c r="Y818" s="25"/>
      <c r="Z818" s="25"/>
      <c r="AA818" s="25"/>
      <c r="AB818" s="25"/>
      <c r="AC818" s="25"/>
      <c r="AD818" s="25"/>
      <c r="AE818" s="25"/>
    </row>
    <row r="819" spans="23:31" ht="14.4" customHeight="1">
      <c r="W819" s="25"/>
      <c r="X819" s="25"/>
      <c r="Y819" s="25"/>
      <c r="Z819" s="25"/>
      <c r="AA819" s="25"/>
      <c r="AB819" s="25"/>
      <c r="AC819" s="25"/>
      <c r="AD819" s="25"/>
      <c r="AE819" s="25"/>
    </row>
    <row r="820" spans="23:31" ht="14.4" customHeight="1">
      <c r="W820" s="25"/>
      <c r="X820" s="25"/>
      <c r="Y820" s="25"/>
      <c r="Z820" s="25"/>
      <c r="AA820" s="25"/>
      <c r="AB820" s="25"/>
      <c r="AC820" s="25"/>
      <c r="AD820" s="25"/>
      <c r="AE820" s="25"/>
    </row>
    <row r="821" spans="23:31" ht="14.4" customHeight="1">
      <c r="W821" s="25"/>
      <c r="X821" s="25"/>
      <c r="Y821" s="25"/>
      <c r="Z821" s="25"/>
      <c r="AA821" s="25"/>
      <c r="AB821" s="25"/>
      <c r="AC821" s="25"/>
      <c r="AD821" s="25"/>
      <c r="AE821" s="25"/>
    </row>
    <row r="822" spans="23:31" ht="14.4" customHeight="1">
      <c r="W822" s="25"/>
      <c r="X822" s="25"/>
      <c r="Y822" s="25"/>
      <c r="Z822" s="25"/>
      <c r="AA822" s="25"/>
      <c r="AB822" s="25"/>
      <c r="AC822" s="25"/>
      <c r="AD822" s="25"/>
      <c r="AE822" s="25"/>
    </row>
    <row r="823" spans="23:31" ht="14.4" customHeight="1">
      <c r="W823" s="25"/>
      <c r="X823" s="25"/>
      <c r="Y823" s="25"/>
      <c r="Z823" s="25"/>
      <c r="AA823" s="25"/>
      <c r="AB823" s="25"/>
      <c r="AC823" s="25"/>
      <c r="AD823" s="25"/>
      <c r="AE823" s="25"/>
    </row>
    <row r="824" spans="23:31" ht="14.4" customHeight="1">
      <c r="W824" s="25"/>
      <c r="X824" s="25"/>
      <c r="Y824" s="25"/>
      <c r="Z824" s="25"/>
      <c r="AA824" s="25"/>
      <c r="AB824" s="25"/>
      <c r="AC824" s="25"/>
      <c r="AD824" s="25"/>
      <c r="AE824" s="25"/>
    </row>
    <row r="825" spans="23:31" ht="14.4" customHeight="1">
      <c r="W825" s="25"/>
      <c r="X825" s="25"/>
      <c r="Y825" s="25"/>
      <c r="Z825" s="25"/>
      <c r="AA825" s="25"/>
      <c r="AB825" s="25"/>
      <c r="AC825" s="25"/>
      <c r="AD825" s="25"/>
      <c r="AE825" s="25"/>
    </row>
    <row r="826" spans="23:31" ht="14.4" customHeight="1">
      <c r="W826" s="25"/>
      <c r="X826" s="25"/>
      <c r="Y826" s="25"/>
      <c r="Z826" s="25"/>
      <c r="AA826" s="25"/>
      <c r="AB826" s="25"/>
      <c r="AC826" s="25"/>
      <c r="AD826" s="25"/>
      <c r="AE826" s="25"/>
    </row>
    <row r="827" spans="23:31" ht="14.4" customHeight="1">
      <c r="W827" s="25"/>
      <c r="X827" s="25"/>
      <c r="Y827" s="25"/>
      <c r="Z827" s="25"/>
      <c r="AA827" s="25"/>
      <c r="AB827" s="25"/>
      <c r="AC827" s="25"/>
      <c r="AD827" s="25"/>
      <c r="AE827" s="25"/>
    </row>
    <row r="828" spans="23:31" ht="14.4" customHeight="1">
      <c r="W828" s="25"/>
      <c r="X828" s="25"/>
      <c r="Y828" s="25"/>
      <c r="Z828" s="25"/>
      <c r="AA828" s="25"/>
      <c r="AB828" s="25"/>
      <c r="AC828" s="25"/>
      <c r="AD828" s="25"/>
      <c r="AE828" s="25"/>
    </row>
    <row r="829" spans="23:31" ht="14.4" customHeight="1">
      <c r="W829" s="25"/>
      <c r="X829" s="25"/>
      <c r="Y829" s="25"/>
      <c r="Z829" s="25"/>
      <c r="AA829" s="25"/>
      <c r="AB829" s="25"/>
      <c r="AC829" s="25"/>
      <c r="AD829" s="25"/>
      <c r="AE829" s="25"/>
    </row>
    <row r="830" spans="23:31" ht="14.4" customHeight="1">
      <c r="W830" s="25"/>
      <c r="X830" s="25"/>
      <c r="Y830" s="25"/>
      <c r="Z830" s="25"/>
      <c r="AA830" s="25"/>
      <c r="AB830" s="25"/>
      <c r="AC830" s="25"/>
      <c r="AD830" s="25"/>
      <c r="AE830" s="25"/>
    </row>
    <row r="831" spans="23:31" ht="14.4" customHeight="1">
      <c r="W831" s="25"/>
      <c r="X831" s="25"/>
      <c r="Y831" s="25"/>
      <c r="Z831" s="25"/>
      <c r="AA831" s="25"/>
      <c r="AB831" s="25"/>
      <c r="AC831" s="25"/>
      <c r="AD831" s="25"/>
      <c r="AE831" s="25"/>
    </row>
    <row r="832" spans="23:31" ht="14.4" customHeight="1">
      <c r="W832" s="25"/>
      <c r="X832" s="25"/>
      <c r="Y832" s="25"/>
      <c r="Z832" s="25"/>
      <c r="AA832" s="25"/>
      <c r="AB832" s="25"/>
      <c r="AC832" s="25"/>
      <c r="AD832" s="25"/>
      <c r="AE832" s="25"/>
    </row>
    <row r="833" spans="23:31" ht="14.4" customHeight="1">
      <c r="W833" s="25"/>
      <c r="X833" s="25"/>
      <c r="Y833" s="25"/>
      <c r="Z833" s="25"/>
      <c r="AA833" s="25"/>
      <c r="AB833" s="25"/>
      <c r="AC833" s="25"/>
      <c r="AD833" s="25"/>
      <c r="AE833" s="25"/>
    </row>
    <row r="834" spans="23:31" ht="14.4" customHeight="1">
      <c r="W834" s="25"/>
      <c r="X834" s="25"/>
      <c r="Y834" s="25"/>
      <c r="Z834" s="25"/>
      <c r="AA834" s="25"/>
      <c r="AB834" s="25"/>
      <c r="AC834" s="25"/>
      <c r="AD834" s="25"/>
      <c r="AE834" s="25"/>
    </row>
    <row r="835" spans="23:31" ht="14.4" customHeight="1">
      <c r="W835" s="25"/>
      <c r="X835" s="25"/>
      <c r="Y835" s="25"/>
      <c r="Z835" s="25"/>
      <c r="AA835" s="25"/>
      <c r="AB835" s="25"/>
      <c r="AC835" s="25"/>
      <c r="AD835" s="25"/>
      <c r="AE835" s="25"/>
    </row>
    <row r="836" spans="23:31" ht="14.4" customHeight="1">
      <c r="W836" s="25"/>
      <c r="X836" s="25"/>
      <c r="Y836" s="25"/>
      <c r="Z836" s="25"/>
      <c r="AA836" s="25"/>
      <c r="AB836" s="25"/>
      <c r="AC836" s="25"/>
      <c r="AD836" s="25"/>
      <c r="AE836" s="25"/>
    </row>
    <row r="837" spans="23:31" ht="14.4" customHeight="1">
      <c r="W837" s="25"/>
      <c r="X837" s="25"/>
      <c r="Y837" s="25"/>
      <c r="Z837" s="25"/>
      <c r="AA837" s="25"/>
      <c r="AB837" s="25"/>
      <c r="AC837" s="25"/>
      <c r="AD837" s="25"/>
      <c r="AE837" s="25"/>
    </row>
    <row r="838" spans="23:31" ht="14.4" customHeight="1">
      <c r="W838" s="25"/>
      <c r="X838" s="25"/>
      <c r="Y838" s="25"/>
      <c r="Z838" s="25"/>
      <c r="AA838" s="25"/>
      <c r="AB838" s="25"/>
      <c r="AC838" s="25"/>
      <c r="AD838" s="25"/>
      <c r="AE838" s="25"/>
    </row>
    <row r="839" spans="23:31" ht="14.4" customHeight="1">
      <c r="W839" s="25"/>
      <c r="X839" s="25"/>
      <c r="Y839" s="25"/>
      <c r="Z839" s="25"/>
      <c r="AA839" s="25"/>
      <c r="AB839" s="25"/>
      <c r="AC839" s="25"/>
      <c r="AD839" s="25"/>
      <c r="AE839" s="25"/>
    </row>
    <row r="840" spans="23:31" ht="14.4" customHeight="1">
      <c r="W840" s="25"/>
      <c r="X840" s="25"/>
      <c r="Y840" s="25"/>
      <c r="Z840" s="25"/>
      <c r="AA840" s="25"/>
      <c r="AB840" s="25"/>
      <c r="AC840" s="25"/>
      <c r="AD840" s="25"/>
      <c r="AE840" s="25"/>
    </row>
    <row r="841" spans="23:31" ht="14.4" customHeight="1">
      <c r="W841" s="25"/>
      <c r="X841" s="25"/>
      <c r="Y841" s="25"/>
      <c r="Z841" s="25"/>
      <c r="AA841" s="25"/>
      <c r="AB841" s="25"/>
      <c r="AC841" s="25"/>
      <c r="AD841" s="25"/>
      <c r="AE841" s="25"/>
    </row>
    <row r="842" spans="23:31" ht="14.4" customHeight="1">
      <c r="W842" s="25"/>
      <c r="X842" s="25"/>
      <c r="Y842" s="25"/>
      <c r="Z842" s="25"/>
      <c r="AA842" s="25"/>
      <c r="AB842" s="25"/>
      <c r="AC842" s="25"/>
      <c r="AD842" s="25"/>
      <c r="AE842" s="25"/>
    </row>
    <row r="843" spans="23:31" ht="14.4" customHeight="1">
      <c r="W843" s="25"/>
      <c r="X843" s="25"/>
      <c r="Y843" s="25"/>
      <c r="Z843" s="25"/>
      <c r="AA843" s="25"/>
      <c r="AB843" s="25"/>
      <c r="AC843" s="25"/>
      <c r="AD843" s="25"/>
      <c r="AE843" s="25"/>
    </row>
    <row r="844" spans="23:31" ht="14.4" customHeight="1">
      <c r="W844" s="25"/>
      <c r="X844" s="25"/>
      <c r="Y844" s="25"/>
      <c r="Z844" s="25"/>
      <c r="AA844" s="25"/>
      <c r="AB844" s="25"/>
      <c r="AC844" s="25"/>
      <c r="AD844" s="25"/>
      <c r="AE844" s="25"/>
    </row>
    <row r="845" spans="23:31" ht="14.4" customHeight="1">
      <c r="W845" s="25"/>
      <c r="X845" s="25"/>
      <c r="Y845" s="25"/>
      <c r="Z845" s="25"/>
      <c r="AA845" s="25"/>
      <c r="AB845" s="25"/>
      <c r="AC845" s="25"/>
      <c r="AD845" s="25"/>
      <c r="AE845" s="25"/>
    </row>
    <row r="846" spans="23:31" ht="14.4" customHeight="1">
      <c r="W846" s="25"/>
      <c r="X846" s="25"/>
      <c r="Y846" s="25"/>
      <c r="Z846" s="25"/>
      <c r="AA846" s="25"/>
      <c r="AB846" s="25"/>
      <c r="AC846" s="25"/>
      <c r="AD846" s="25"/>
      <c r="AE846" s="25"/>
    </row>
    <row r="847" spans="23:31" ht="14.4" customHeight="1">
      <c r="W847" s="25"/>
      <c r="X847" s="25"/>
      <c r="Y847" s="25"/>
      <c r="Z847" s="25"/>
      <c r="AA847" s="25"/>
      <c r="AB847" s="25"/>
      <c r="AC847" s="25"/>
      <c r="AD847" s="25"/>
      <c r="AE847" s="25"/>
    </row>
    <row r="848" spans="23:31" ht="14.4" customHeight="1">
      <c r="W848" s="25"/>
      <c r="X848" s="25"/>
      <c r="Y848" s="25"/>
      <c r="Z848" s="25"/>
      <c r="AA848" s="25"/>
      <c r="AB848" s="25"/>
      <c r="AC848" s="25"/>
      <c r="AD848" s="25"/>
      <c r="AE848" s="25"/>
    </row>
    <row r="849" spans="23:31" ht="14.4" customHeight="1">
      <c r="W849" s="25"/>
      <c r="X849" s="25"/>
      <c r="Y849" s="25"/>
      <c r="Z849" s="25"/>
      <c r="AA849" s="25"/>
      <c r="AB849" s="25"/>
      <c r="AC849" s="25"/>
      <c r="AD849" s="25"/>
      <c r="AE849" s="25"/>
    </row>
    <row r="850" spans="23:31" ht="14.4" customHeight="1">
      <c r="W850" s="25"/>
      <c r="X850" s="25"/>
      <c r="Y850" s="25"/>
      <c r="Z850" s="25"/>
      <c r="AA850" s="25"/>
      <c r="AB850" s="25"/>
      <c r="AC850" s="25"/>
      <c r="AD850" s="25"/>
      <c r="AE850" s="25"/>
    </row>
    <row r="851" spans="23:31" ht="14.4" customHeight="1">
      <c r="W851" s="25"/>
      <c r="X851" s="25"/>
      <c r="Y851" s="25"/>
      <c r="Z851" s="25"/>
      <c r="AA851" s="25"/>
      <c r="AB851" s="25"/>
      <c r="AC851" s="25"/>
      <c r="AD851" s="25"/>
      <c r="AE851" s="25"/>
    </row>
    <row r="852" spans="23:31" ht="14.4" customHeight="1">
      <c r="W852" s="25"/>
      <c r="X852" s="25"/>
      <c r="Y852" s="25"/>
      <c r="Z852" s="25"/>
      <c r="AA852" s="25"/>
      <c r="AB852" s="25"/>
      <c r="AC852" s="25"/>
      <c r="AD852" s="25"/>
      <c r="AE852" s="25"/>
    </row>
    <row r="853" spans="23:31" ht="14.4" customHeight="1">
      <c r="W853" s="25"/>
      <c r="X853" s="25"/>
      <c r="Y853" s="25"/>
      <c r="Z853" s="25"/>
      <c r="AA853" s="25"/>
      <c r="AB853" s="25"/>
      <c r="AC853" s="25"/>
      <c r="AD853" s="25"/>
      <c r="AE853" s="25"/>
    </row>
    <row r="854" spans="23:31" ht="14.4" customHeight="1">
      <c r="W854" s="25"/>
      <c r="X854" s="25"/>
      <c r="Y854" s="25"/>
      <c r="Z854" s="25"/>
      <c r="AA854" s="25"/>
      <c r="AB854" s="25"/>
      <c r="AC854" s="25"/>
      <c r="AD854" s="25"/>
      <c r="AE854" s="25"/>
    </row>
    <row r="855" spans="23:31" ht="14.4" customHeight="1">
      <c r="W855" s="25"/>
      <c r="X855" s="25"/>
      <c r="Y855" s="25"/>
      <c r="Z855" s="25"/>
      <c r="AA855" s="25"/>
      <c r="AB855" s="25"/>
      <c r="AC855" s="25"/>
      <c r="AD855" s="25"/>
      <c r="AE855" s="25"/>
    </row>
    <row r="856" spans="23:31" ht="14.4" customHeight="1">
      <c r="W856" s="25"/>
      <c r="X856" s="25"/>
      <c r="Y856" s="25"/>
      <c r="Z856" s="25"/>
      <c r="AA856" s="25"/>
      <c r="AB856" s="25"/>
      <c r="AC856" s="25"/>
      <c r="AD856" s="25"/>
      <c r="AE856" s="25"/>
    </row>
    <row r="857" spans="23:31" ht="14.4" customHeight="1">
      <c r="W857" s="25"/>
      <c r="X857" s="25"/>
      <c r="Y857" s="25"/>
      <c r="Z857" s="25"/>
      <c r="AA857" s="25"/>
      <c r="AB857" s="25"/>
      <c r="AC857" s="25"/>
      <c r="AD857" s="25"/>
      <c r="AE857" s="25"/>
    </row>
    <row r="858" spans="23:31" ht="14.4" customHeight="1">
      <c r="W858" s="25"/>
      <c r="X858" s="25"/>
      <c r="Y858" s="25"/>
      <c r="Z858" s="25"/>
      <c r="AA858" s="25"/>
      <c r="AB858" s="25"/>
      <c r="AC858" s="25"/>
      <c r="AD858" s="25"/>
      <c r="AE858" s="25"/>
    </row>
    <row r="859" spans="23:31" ht="14.4" customHeight="1">
      <c r="W859" s="25"/>
      <c r="X859" s="25"/>
      <c r="Y859" s="25"/>
      <c r="Z859" s="25"/>
      <c r="AA859" s="25"/>
      <c r="AB859" s="25"/>
      <c r="AC859" s="25"/>
      <c r="AD859" s="25"/>
      <c r="AE859" s="25"/>
    </row>
    <row r="860" spans="23:31" ht="14.4" customHeight="1">
      <c r="W860" s="25"/>
      <c r="X860" s="25"/>
      <c r="Y860" s="25"/>
      <c r="Z860" s="25"/>
      <c r="AA860" s="25"/>
      <c r="AB860" s="25"/>
      <c r="AC860" s="25"/>
      <c r="AD860" s="25"/>
      <c r="AE860" s="25"/>
    </row>
    <row r="861" spans="23:31" ht="14.4" customHeight="1">
      <c r="W861" s="25"/>
      <c r="X861" s="25"/>
      <c r="Y861" s="25"/>
      <c r="Z861" s="25"/>
      <c r="AA861" s="25"/>
      <c r="AB861" s="25"/>
      <c r="AC861" s="25"/>
      <c r="AD861" s="25"/>
      <c r="AE861" s="25"/>
    </row>
    <row r="862" spans="23:31" ht="14.4" customHeight="1">
      <c r="W862" s="25"/>
      <c r="X862" s="25"/>
      <c r="Y862" s="25"/>
      <c r="Z862" s="25"/>
      <c r="AA862" s="25"/>
      <c r="AB862" s="25"/>
      <c r="AC862" s="25"/>
      <c r="AD862" s="25"/>
      <c r="AE862" s="25"/>
    </row>
    <row r="863" spans="23:31" ht="14.4" customHeight="1">
      <c r="W863" s="25"/>
      <c r="X863" s="25"/>
      <c r="Y863" s="25"/>
      <c r="Z863" s="25"/>
      <c r="AA863" s="25"/>
      <c r="AB863" s="25"/>
      <c r="AC863" s="25"/>
      <c r="AD863" s="25"/>
      <c r="AE863" s="25"/>
    </row>
    <row r="864" spans="23:31" ht="14.4" customHeight="1">
      <c r="W864" s="25"/>
      <c r="X864" s="25"/>
      <c r="Y864" s="25"/>
      <c r="Z864" s="25"/>
      <c r="AA864" s="25"/>
      <c r="AB864" s="25"/>
      <c r="AC864" s="25"/>
      <c r="AD864" s="25"/>
      <c r="AE864" s="25"/>
    </row>
    <row r="865" spans="23:31" ht="14.4" customHeight="1">
      <c r="W865" s="25"/>
      <c r="X865" s="25"/>
      <c r="Y865" s="25"/>
      <c r="Z865" s="25"/>
      <c r="AA865" s="25"/>
      <c r="AB865" s="25"/>
      <c r="AC865" s="25"/>
      <c r="AD865" s="25"/>
      <c r="AE865" s="25"/>
    </row>
    <row r="866" spans="23:31" ht="14.4" customHeight="1">
      <c r="W866" s="25"/>
      <c r="X866" s="25"/>
      <c r="Y866" s="25"/>
      <c r="Z866" s="25"/>
      <c r="AA866" s="25"/>
      <c r="AB866" s="25"/>
      <c r="AC866" s="25"/>
      <c r="AD866" s="25"/>
      <c r="AE866" s="25"/>
    </row>
    <row r="867" spans="23:31" ht="14.4" customHeight="1">
      <c r="W867" s="25"/>
      <c r="X867" s="25"/>
      <c r="Y867" s="25"/>
      <c r="Z867" s="25"/>
      <c r="AA867" s="25"/>
      <c r="AB867" s="25"/>
      <c r="AC867" s="25"/>
      <c r="AD867" s="25"/>
      <c r="AE867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600"/>
  <sheetViews>
    <sheetView zoomScaleNormal="100" workbookViewId="0">
      <selection activeCell="U21" sqref="T21:U22"/>
    </sheetView>
  </sheetViews>
  <sheetFormatPr defaultColWidth="9.109375" defaultRowHeight="14.4"/>
  <cols>
    <col min="3" max="10" width="10.6640625" customWidth="1"/>
    <col min="11" max="11" width="1.5546875" customWidth="1"/>
    <col min="12" max="12" width="1" customWidth="1"/>
  </cols>
  <sheetData>
    <row r="1" spans="1:28">
      <c r="A1" s="29"/>
      <c r="B1" s="29"/>
      <c r="C1" s="27"/>
      <c r="D1" s="27"/>
      <c r="E1" s="27"/>
      <c r="F1" s="27"/>
      <c r="G1" s="27"/>
      <c r="H1" s="28"/>
      <c r="I1" s="27"/>
      <c r="J1" s="29"/>
      <c r="K1" s="30"/>
      <c r="L1" s="30"/>
      <c r="M1" s="25"/>
      <c r="N1" s="46" t="s">
        <v>1</v>
      </c>
      <c r="O1" s="46" t="s">
        <v>85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>
      <c r="A2" s="1" t="s">
        <v>93</v>
      </c>
      <c r="K2" s="30"/>
      <c r="L2" s="30"/>
      <c r="M2" s="25"/>
      <c r="N2" s="25" t="s">
        <v>89</v>
      </c>
      <c r="O2" s="25" t="s">
        <v>112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spans="1:28">
      <c r="K3" s="30"/>
      <c r="L3" s="30"/>
      <c r="M3" s="25"/>
      <c r="N3" s="25" t="s">
        <v>90</v>
      </c>
      <c r="O3" s="25" t="s">
        <v>113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1:28">
      <c r="K4" s="30"/>
      <c r="L4" s="30"/>
      <c r="M4" s="25"/>
      <c r="N4" s="25" t="s">
        <v>91</v>
      </c>
      <c r="O4" s="25" t="s">
        <v>114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>
      <c r="K5" s="30"/>
      <c r="L5" s="30"/>
      <c r="M5" s="25"/>
      <c r="N5" s="25" t="s">
        <v>92</v>
      </c>
      <c r="O5" s="25" t="s">
        <v>115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spans="1:28" ht="14.4" customHeight="1">
      <c r="A6" s="29"/>
      <c r="B6" s="29"/>
      <c r="C6" s="27"/>
      <c r="D6" s="27"/>
      <c r="E6" s="27"/>
      <c r="F6" s="27"/>
      <c r="G6" s="27"/>
      <c r="H6" s="27"/>
      <c r="I6" s="27"/>
      <c r="J6" s="27"/>
      <c r="K6" s="30"/>
      <c r="L6" s="30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spans="1:28" ht="14.4" customHeight="1">
      <c r="A7" s="2"/>
      <c r="E7">
        <v>1</v>
      </c>
      <c r="F7">
        <v>2</v>
      </c>
      <c r="G7">
        <v>3</v>
      </c>
      <c r="H7">
        <v>4</v>
      </c>
      <c r="I7">
        <v>5</v>
      </c>
      <c r="J7" s="54"/>
      <c r="K7" s="31"/>
      <c r="L7" s="30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spans="1:28" ht="14.4" customHeight="1">
      <c r="A8" s="28" t="s">
        <v>106</v>
      </c>
      <c r="B8" s="27"/>
      <c r="C8" t="s">
        <v>1</v>
      </c>
      <c r="E8" s="47" t="s">
        <v>89</v>
      </c>
      <c r="F8" s="47" t="s">
        <v>90</v>
      </c>
      <c r="G8" s="47" t="s">
        <v>91</v>
      </c>
      <c r="H8" s="47" t="s">
        <v>92</v>
      </c>
      <c r="I8" s="48"/>
      <c r="J8" s="54"/>
      <c r="K8" s="31"/>
      <c r="L8" s="30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spans="1:28" ht="14.4" customHeight="1">
      <c r="C9" t="s">
        <v>2</v>
      </c>
      <c r="E9" s="55" t="s">
        <v>111</v>
      </c>
      <c r="F9" s="55" t="s">
        <v>110</v>
      </c>
      <c r="G9" s="55" t="s">
        <v>109</v>
      </c>
      <c r="H9" s="55" t="s">
        <v>108</v>
      </c>
      <c r="I9" s="49"/>
      <c r="J9" s="54"/>
      <c r="K9" s="31"/>
      <c r="L9" s="30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spans="1:28" ht="14.4" customHeight="1">
      <c r="C10" t="s">
        <v>22</v>
      </c>
      <c r="D10" s="10"/>
      <c r="E10" s="55">
        <v>45319</v>
      </c>
      <c r="F10" s="55">
        <v>45657</v>
      </c>
      <c r="G10" s="55">
        <v>45657</v>
      </c>
      <c r="H10" s="55">
        <v>45657</v>
      </c>
      <c r="I10" s="49"/>
      <c r="J10" s="54"/>
      <c r="K10" s="31"/>
      <c r="L10" s="30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spans="1:28" ht="14.4" customHeight="1">
      <c r="C11" t="s">
        <v>3</v>
      </c>
      <c r="E11" s="50">
        <v>145.63999999999999</v>
      </c>
      <c r="F11" s="50">
        <v>27.56</v>
      </c>
      <c r="G11" s="50">
        <v>81.900000000000006</v>
      </c>
      <c r="H11" s="50">
        <v>55.12</v>
      </c>
      <c r="I11" s="50"/>
      <c r="J11" s="54"/>
      <c r="K11" s="31"/>
      <c r="L11" s="30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spans="1:28" ht="14.4" customHeight="1">
      <c r="C12" t="s">
        <v>88</v>
      </c>
      <c r="E12" s="55">
        <v>46048</v>
      </c>
      <c r="F12" s="55">
        <v>46048</v>
      </c>
      <c r="G12" s="55">
        <v>46048</v>
      </c>
      <c r="H12" s="55">
        <v>46048</v>
      </c>
      <c r="I12" s="50"/>
      <c r="J12" s="54"/>
      <c r="K12" s="31"/>
      <c r="L12" s="30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spans="1:28" ht="14.4" customHeight="1">
      <c r="E13" s="48"/>
      <c r="F13" s="48"/>
      <c r="G13" s="48"/>
      <c r="H13" s="48"/>
      <c r="I13" s="48"/>
      <c r="J13" s="54"/>
      <c r="K13" s="31"/>
      <c r="L13" s="30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spans="1:28" ht="14.4" customHeight="1">
      <c r="E14" s="10"/>
      <c r="F14" s="10"/>
      <c r="G14" s="10"/>
      <c r="H14" s="10"/>
      <c r="I14" s="52"/>
      <c r="J14" s="54"/>
      <c r="K14" s="31"/>
      <c r="L14" s="30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spans="1:28" ht="14.4" customHeight="1">
      <c r="A15" s="28" t="s">
        <v>105</v>
      </c>
      <c r="B15" s="27"/>
      <c r="C15" t="s">
        <v>4</v>
      </c>
      <c r="E15" s="56">
        <v>1372</v>
      </c>
      <c r="F15" s="56">
        <v>1374</v>
      </c>
      <c r="G15" s="56">
        <v>985</v>
      </c>
      <c r="H15" s="56">
        <v>258</v>
      </c>
      <c r="I15" s="49"/>
      <c r="J15" s="54"/>
      <c r="K15" s="31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 spans="1:28" ht="14.4" customHeight="1">
      <c r="C16" t="s">
        <v>5</v>
      </c>
      <c r="E16" s="56">
        <v>13</v>
      </c>
      <c r="F16" s="56">
        <v>6</v>
      </c>
      <c r="G16" s="56">
        <v>5</v>
      </c>
      <c r="H16" s="56">
        <v>5</v>
      </c>
      <c r="I16" s="49"/>
      <c r="J16" s="54"/>
      <c r="K16" s="31"/>
      <c r="L16" s="30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 spans="1:28" ht="14.4" customHeight="1">
      <c r="C17" t="s">
        <v>6</v>
      </c>
      <c r="E17" s="56">
        <v>0</v>
      </c>
      <c r="F17" s="56">
        <v>0</v>
      </c>
      <c r="G17" s="56">
        <v>0</v>
      </c>
      <c r="H17" s="56">
        <v>31.6</v>
      </c>
      <c r="I17" s="49"/>
      <c r="J17" s="54"/>
      <c r="K17" s="31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 spans="1:28" ht="14.4" customHeight="1">
      <c r="C18" t="s">
        <v>7</v>
      </c>
      <c r="D18" s="87"/>
      <c r="E18" s="85">
        <v>0</v>
      </c>
      <c r="F18" s="56">
        <v>0</v>
      </c>
      <c r="G18" s="56">
        <v>0</v>
      </c>
      <c r="H18" s="56">
        <v>0</v>
      </c>
      <c r="I18" s="49"/>
      <c r="J18" s="54"/>
      <c r="K18" s="31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 ht="14.4" customHeight="1">
      <c r="C19" s="2" t="s">
        <v>8</v>
      </c>
      <c r="D19" s="86"/>
      <c r="E19" s="57">
        <f>SUM(E15:E18)</f>
        <v>1385</v>
      </c>
      <c r="F19" s="57">
        <f t="shared" ref="F19:H19" si="0">SUM(F15:F18)</f>
        <v>1380</v>
      </c>
      <c r="G19" s="57">
        <f t="shared" si="0"/>
        <v>990</v>
      </c>
      <c r="H19" s="57">
        <f t="shared" si="0"/>
        <v>294.60000000000002</v>
      </c>
      <c r="I19" s="51"/>
      <c r="J19" s="54"/>
      <c r="K19" s="31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ht="14.4" customHeight="1">
      <c r="C20" s="2"/>
      <c r="E20" s="51"/>
      <c r="F20" s="51"/>
      <c r="G20" s="51"/>
      <c r="H20" s="51"/>
      <c r="I20" s="51"/>
      <c r="J20" s="78"/>
      <c r="K20" s="31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ht="14.4" customHeight="1">
      <c r="C21" s="2"/>
      <c r="E21" s="51"/>
      <c r="F21" s="51"/>
      <c r="G21" s="51"/>
      <c r="H21" s="51"/>
      <c r="I21" s="51"/>
      <c r="J21" s="54"/>
      <c r="K21" s="31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ht="14.4" customHeight="1">
      <c r="J22" s="54"/>
      <c r="K22" s="31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 spans="1:28" ht="14.4" customHeight="1">
      <c r="A23" s="84" t="s">
        <v>107</v>
      </c>
      <c r="B23" s="58"/>
      <c r="C23" s="59"/>
      <c r="D23" s="58"/>
      <c r="E23" s="58"/>
      <c r="F23" s="60"/>
      <c r="G23" s="61"/>
      <c r="H23" s="62"/>
      <c r="I23" s="58"/>
      <c r="J23" s="54"/>
      <c r="K23" s="31"/>
      <c r="L23" s="30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ht="14.4" customHeight="1">
      <c r="A24" s="2"/>
      <c r="C24" s="48"/>
      <c r="D24" s="75"/>
      <c r="E24" s="53" t="str">
        <f>E$8</f>
        <v>PEP</v>
      </c>
      <c r="F24" s="53" t="str">
        <f>F$8</f>
        <v>KDP</v>
      </c>
      <c r="G24" s="53" t="str">
        <f>G$8</f>
        <v>MNST</v>
      </c>
      <c r="H24" s="53" t="str">
        <f>H$8</f>
        <v>CELH</v>
      </c>
      <c r="I24" s="53">
        <f>I$8</f>
        <v>0</v>
      </c>
      <c r="J24" s="70"/>
      <c r="K24" s="31"/>
      <c r="L24" s="30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ht="14.4" customHeight="1">
      <c r="A25" s="60" t="s">
        <v>9</v>
      </c>
      <c r="B25" s="58"/>
      <c r="C25" t="s">
        <v>10</v>
      </c>
      <c r="E25" s="76">
        <v>91854</v>
      </c>
      <c r="F25" s="76">
        <v>15350</v>
      </c>
      <c r="G25" s="76">
        <v>7493</v>
      </c>
      <c r="H25" s="76">
        <v>1356</v>
      </c>
      <c r="I25" s="71"/>
      <c r="J25" s="70"/>
      <c r="K25" s="31"/>
      <c r="L25" s="30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ht="14.4" customHeight="1">
      <c r="C26" t="s">
        <v>97</v>
      </c>
      <c r="E26" s="76">
        <v>41744</v>
      </c>
      <c r="F26" s="76">
        <v>6821</v>
      </c>
      <c r="G26" s="76">
        <v>3444</v>
      </c>
      <c r="H26" s="76">
        <v>676</v>
      </c>
      <c r="I26" s="72"/>
      <c r="J26" s="70"/>
      <c r="K26" s="31"/>
      <c r="L26" s="30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ht="14.4" customHeight="1">
      <c r="C27" t="s">
        <v>86</v>
      </c>
      <c r="E27" s="76">
        <f>E25-E26</f>
        <v>50110</v>
      </c>
      <c r="F27" s="76">
        <f t="shared" ref="F27:H27" si="1">F25-F26</f>
        <v>8529</v>
      </c>
      <c r="G27" s="76">
        <f t="shared" si="1"/>
        <v>4049</v>
      </c>
      <c r="H27" s="76">
        <f t="shared" si="1"/>
        <v>680</v>
      </c>
      <c r="I27" s="73"/>
      <c r="J27" s="70"/>
      <c r="K27" s="31"/>
      <c r="L27" s="30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ht="14.4" customHeight="1">
      <c r="C28" t="s">
        <v>98</v>
      </c>
      <c r="E28" s="76">
        <v>37190</v>
      </c>
      <c r="F28" s="76">
        <v>4649</v>
      </c>
      <c r="G28" s="76">
        <v>2119</v>
      </c>
      <c r="H28" s="76">
        <v>518</v>
      </c>
      <c r="I28" s="71"/>
      <c r="J28" s="70"/>
      <c r="K28" s="31"/>
      <c r="L28" s="30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ht="14.4" customHeight="1">
      <c r="C29" t="s">
        <v>99</v>
      </c>
      <c r="E29" s="76">
        <v>33</v>
      </c>
      <c r="F29" s="76">
        <v>1300</v>
      </c>
      <c r="G29" s="76">
        <v>0</v>
      </c>
      <c r="H29" s="76">
        <v>17</v>
      </c>
      <c r="I29" s="72"/>
      <c r="J29" s="70"/>
      <c r="K29" s="31"/>
      <c r="L29" s="30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ht="14.4" customHeight="1">
      <c r="C30" s="2" t="s">
        <v>11</v>
      </c>
      <c r="D30" s="2"/>
      <c r="E30" s="77">
        <f>E27-E28-E29</f>
        <v>12887</v>
      </c>
      <c r="F30" s="77">
        <f t="shared" ref="F30:H30" si="2">F27-F28-F29</f>
        <v>2580</v>
      </c>
      <c r="G30" s="77">
        <f t="shared" si="2"/>
        <v>1930</v>
      </c>
      <c r="H30" s="77">
        <f t="shared" si="2"/>
        <v>145</v>
      </c>
      <c r="I30" s="74"/>
      <c r="J30" s="70"/>
      <c r="K30" s="31"/>
      <c r="L30" s="30"/>
      <c r="M30" s="25"/>
      <c r="N30" s="44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spans="1:28" ht="14.4" customHeight="1">
      <c r="C31" t="s">
        <v>100</v>
      </c>
      <c r="E31" s="76">
        <v>-935</v>
      </c>
      <c r="F31" s="76">
        <v>-550</v>
      </c>
      <c r="G31" s="76">
        <v>0</v>
      </c>
      <c r="H31" s="76">
        <v>0</v>
      </c>
      <c r="I31" s="71"/>
      <c r="J31" s="70"/>
      <c r="K31" s="31"/>
      <c r="L31" s="30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 spans="1:28" ht="14.4" customHeight="1">
      <c r="C32" t="s">
        <v>101</v>
      </c>
      <c r="E32" s="76">
        <v>350</v>
      </c>
      <c r="F32" s="76">
        <v>55</v>
      </c>
      <c r="G32" s="76">
        <v>59</v>
      </c>
      <c r="H32" s="76">
        <v>22</v>
      </c>
      <c r="I32" s="72"/>
      <c r="J32" s="90">
        <f>91854+23940-22730</f>
        <v>93064</v>
      </c>
      <c r="K32" s="31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 spans="1:28" ht="14.4" customHeight="1">
      <c r="C33" t="s">
        <v>102</v>
      </c>
      <c r="E33" s="76">
        <v>-352</v>
      </c>
      <c r="F33" s="76">
        <v>-19</v>
      </c>
      <c r="G33" s="76">
        <v>0</v>
      </c>
      <c r="H33" s="76">
        <v>-43</v>
      </c>
      <c r="I33" s="72"/>
      <c r="J33" s="70"/>
      <c r="K33" s="31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 spans="1:28" ht="14.4" customHeight="1">
      <c r="C34" s="2" t="s">
        <v>32</v>
      </c>
      <c r="E34" s="77">
        <f>SUM(E30:E33)</f>
        <v>11950</v>
      </c>
      <c r="F34" s="77">
        <f t="shared" ref="F34:H34" si="3">SUM(F30:F33)</f>
        <v>2066</v>
      </c>
      <c r="G34" s="77">
        <f t="shared" si="3"/>
        <v>1989</v>
      </c>
      <c r="H34" s="77">
        <f t="shared" si="3"/>
        <v>124</v>
      </c>
      <c r="I34" s="77"/>
      <c r="J34" s="70"/>
      <c r="K34" s="31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 spans="1:28" ht="14.4" customHeight="1">
      <c r="C35" t="s">
        <v>103</v>
      </c>
      <c r="E35" s="76">
        <v>-2320</v>
      </c>
      <c r="F35" s="76">
        <v>-666</v>
      </c>
      <c r="G35" s="76">
        <v>-146.70400000000001</v>
      </c>
      <c r="H35" s="76">
        <v>-19</v>
      </c>
      <c r="I35" s="71"/>
      <c r="J35" s="70"/>
      <c r="K35" s="31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ht="14.4" customHeight="1">
      <c r="C36" t="s">
        <v>87</v>
      </c>
      <c r="E36" s="76">
        <f>SUM(E34:E35)</f>
        <v>9630</v>
      </c>
      <c r="F36" s="76">
        <f t="shared" ref="F36:H36" si="4">SUM(F34:F35)</f>
        <v>1400</v>
      </c>
      <c r="G36" s="76">
        <f t="shared" si="4"/>
        <v>1842.296</v>
      </c>
      <c r="H36" s="76">
        <f t="shared" si="4"/>
        <v>105</v>
      </c>
      <c r="I36" s="73"/>
      <c r="J36" s="70"/>
      <c r="K36" s="31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spans="1:28" ht="14.4" customHeight="1">
      <c r="C37" s="2" t="s">
        <v>35</v>
      </c>
      <c r="E37" s="79">
        <v>6.95</v>
      </c>
      <c r="F37" s="79">
        <v>1.05</v>
      </c>
      <c r="G37" s="79">
        <v>1.49</v>
      </c>
      <c r="H37" s="79">
        <v>0.45</v>
      </c>
      <c r="I37" s="79"/>
      <c r="J37" s="70"/>
      <c r="K37" s="31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 spans="1:28" ht="14.4" customHeight="1">
      <c r="C38" s="2"/>
      <c r="E38" s="48"/>
      <c r="F38" s="48"/>
      <c r="G38" s="48"/>
      <c r="H38" s="48"/>
      <c r="I38" s="48"/>
      <c r="J38" s="70"/>
      <c r="K38" s="31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 spans="1:28" ht="14.4" customHeight="1">
      <c r="C39" s="63" t="s">
        <v>104</v>
      </c>
      <c r="E39" s="76">
        <v>-2800</v>
      </c>
      <c r="F39" s="76">
        <v>-1050</v>
      </c>
      <c r="G39" s="76">
        <v>-112</v>
      </c>
      <c r="H39" s="76">
        <v>-32</v>
      </c>
      <c r="I39" s="76"/>
      <c r="J39" s="70"/>
      <c r="K39" s="31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 spans="1:28" ht="14.4" customHeight="1">
      <c r="C40" s="2" t="s">
        <v>12</v>
      </c>
      <c r="E40" s="77">
        <f>E30-E39</f>
        <v>15687</v>
      </c>
      <c r="F40" s="77">
        <f>F30-F39</f>
        <v>3630</v>
      </c>
      <c r="G40" s="77">
        <f>G30-G39</f>
        <v>2042</v>
      </c>
      <c r="H40" s="77">
        <f>H30-H39</f>
        <v>177</v>
      </c>
      <c r="I40" s="77"/>
      <c r="J40" s="70"/>
      <c r="K40" s="31"/>
      <c r="L40" s="30"/>
      <c r="M40" s="25"/>
      <c r="N40" s="44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 spans="1:28" ht="14.4" customHeight="1">
      <c r="E41" s="80"/>
      <c r="F41" s="80"/>
      <c r="G41" s="80"/>
      <c r="H41" s="80"/>
      <c r="I41" s="80"/>
      <c r="J41" s="70"/>
      <c r="K41" s="31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 spans="1:28" ht="14.4" customHeight="1">
      <c r="E42" s="88" t="str">
        <f>E$8</f>
        <v>PEP</v>
      </c>
      <c r="F42" s="88" t="str">
        <f>F$8</f>
        <v>KDP</v>
      </c>
      <c r="G42" s="88" t="str">
        <f>G$8</f>
        <v>MNST</v>
      </c>
      <c r="H42" s="88" t="str">
        <f>H$8</f>
        <v>CELH</v>
      </c>
      <c r="I42" s="88">
        <f>I$8</f>
        <v>0</v>
      </c>
      <c r="J42" s="54"/>
      <c r="K42" s="31"/>
      <c r="L42" s="30"/>
      <c r="M42" s="25"/>
      <c r="N42" s="44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 spans="1:28" ht="14.4" customHeight="1">
      <c r="A43" s="60" t="s">
        <v>13</v>
      </c>
      <c r="B43" s="58"/>
      <c r="C43" t="s">
        <v>10</v>
      </c>
      <c r="E43" s="76">
        <v>23940</v>
      </c>
      <c r="F43" s="76">
        <v>4310</v>
      </c>
      <c r="G43" s="76">
        <v>2200</v>
      </c>
      <c r="H43" s="76">
        <v>725</v>
      </c>
      <c r="I43" s="76"/>
      <c r="J43" s="70"/>
      <c r="K43" s="31"/>
      <c r="L43" s="30"/>
      <c r="M43" s="25"/>
      <c r="N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4.4" customHeight="1">
      <c r="C44" t="s">
        <v>97</v>
      </c>
      <c r="E44" s="76">
        <v>11140</v>
      </c>
      <c r="F44" s="76">
        <v>2155</v>
      </c>
      <c r="G44" s="76">
        <v>975</v>
      </c>
      <c r="H44" s="76">
        <v>353</v>
      </c>
      <c r="I44" s="76"/>
      <c r="J44" s="70"/>
      <c r="K44" s="31"/>
      <c r="L44" s="30"/>
      <c r="M44" s="25"/>
      <c r="N44" s="25"/>
      <c r="O44" s="67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 spans="1:28" ht="14.4" customHeight="1">
      <c r="C45" t="s">
        <v>86</v>
      </c>
      <c r="E45" s="76">
        <f>E43-E44</f>
        <v>12800</v>
      </c>
      <c r="F45" s="76">
        <f t="shared" ref="F45:H45" si="5">F43-F44</f>
        <v>2155</v>
      </c>
      <c r="G45" s="76">
        <f t="shared" si="5"/>
        <v>1225</v>
      </c>
      <c r="H45" s="76">
        <f t="shared" si="5"/>
        <v>372</v>
      </c>
      <c r="I45" s="76"/>
      <c r="J45" s="70"/>
      <c r="K45" s="31"/>
      <c r="L45" s="30"/>
      <c r="M45" s="25"/>
      <c r="N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4.4" customHeight="1">
      <c r="C46" t="s">
        <v>98</v>
      </c>
      <c r="E46" s="76">
        <v>8600</v>
      </c>
      <c r="F46" s="76">
        <v>1154</v>
      </c>
      <c r="G46" s="76">
        <v>549</v>
      </c>
      <c r="H46" s="76">
        <v>206</v>
      </c>
      <c r="I46" s="76"/>
      <c r="J46" s="70"/>
      <c r="K46" s="31"/>
      <c r="L46" s="30"/>
      <c r="M46" s="25"/>
      <c r="N46" s="25"/>
      <c r="O46" s="67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4.4" customHeight="1">
      <c r="C47" t="s">
        <v>99</v>
      </c>
      <c r="E47" s="76">
        <v>600</v>
      </c>
      <c r="F47" s="76">
        <v>2</v>
      </c>
      <c r="G47" s="76">
        <v>0</v>
      </c>
      <c r="H47" s="76">
        <v>247</v>
      </c>
      <c r="I47" s="76"/>
      <c r="J47" s="70"/>
      <c r="K47" s="31"/>
      <c r="L47" s="30"/>
      <c r="M47" s="25"/>
      <c r="N47" s="25"/>
      <c r="O47" s="67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 spans="1:28" ht="14.4" customHeight="1">
      <c r="C48" s="2" t="s">
        <v>11</v>
      </c>
      <c r="D48" s="2"/>
      <c r="E48" s="77">
        <f>E45-E46-E47</f>
        <v>3600</v>
      </c>
      <c r="F48" s="77">
        <f t="shared" ref="F48:H48" si="6">F45-F46-F47</f>
        <v>999</v>
      </c>
      <c r="G48" s="77">
        <f t="shared" si="6"/>
        <v>676</v>
      </c>
      <c r="H48" s="77">
        <f t="shared" si="6"/>
        <v>-81</v>
      </c>
      <c r="I48" s="77"/>
      <c r="J48" s="70"/>
      <c r="K48" s="31"/>
      <c r="L48" s="30"/>
      <c r="M48" s="25"/>
      <c r="N48" s="25"/>
      <c r="O48" s="2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spans="1:28" ht="14.4" customHeight="1">
      <c r="C49" t="s">
        <v>100</v>
      </c>
      <c r="E49" s="76">
        <v>-234</v>
      </c>
      <c r="F49" s="76">
        <v>-138</v>
      </c>
      <c r="G49" s="76">
        <v>-1</v>
      </c>
      <c r="H49" s="76">
        <v>-5</v>
      </c>
      <c r="I49" s="76"/>
      <c r="J49" s="70"/>
      <c r="K49" s="31"/>
      <c r="L49" s="30"/>
      <c r="M49" s="25"/>
      <c r="N49" s="25"/>
      <c r="O49" s="67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ht="14.4" customHeight="1">
      <c r="C50" t="s">
        <v>101</v>
      </c>
      <c r="E50" s="76">
        <v>85</v>
      </c>
      <c r="F50" s="76">
        <v>14</v>
      </c>
      <c r="G50" s="76">
        <v>15</v>
      </c>
      <c r="H50" s="76">
        <v>7</v>
      </c>
      <c r="I50" s="76"/>
      <c r="J50" s="70"/>
      <c r="K50" s="31"/>
      <c r="L50" s="30"/>
      <c r="M50" s="25"/>
      <c r="N50" s="25"/>
      <c r="O50" s="67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 spans="1:28" ht="14.4" customHeight="1">
      <c r="C51" t="s">
        <v>102</v>
      </c>
      <c r="E51" s="76">
        <v>-1</v>
      </c>
      <c r="F51" s="76">
        <v>-9</v>
      </c>
      <c r="G51" s="76">
        <v>0</v>
      </c>
      <c r="H51" s="76">
        <v>-2</v>
      </c>
      <c r="I51" s="76"/>
      <c r="J51" s="70"/>
      <c r="K51" s="31"/>
      <c r="L51" s="30"/>
      <c r="M51" s="25"/>
      <c r="N51" s="25"/>
      <c r="O51" s="67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 spans="1:28" ht="14.4" customHeight="1">
      <c r="C52" s="2" t="s">
        <v>32</v>
      </c>
      <c r="E52" s="77">
        <f>SUM(E48:E51)</f>
        <v>3450</v>
      </c>
      <c r="F52" s="77">
        <f t="shared" ref="F52:H52" si="7">SUM(F48:F51)</f>
        <v>866</v>
      </c>
      <c r="G52" s="77">
        <f t="shared" si="7"/>
        <v>690</v>
      </c>
      <c r="H52" s="77">
        <f t="shared" si="7"/>
        <v>-81</v>
      </c>
      <c r="I52" s="77"/>
      <c r="J52" s="70"/>
      <c r="K52" s="31"/>
      <c r="L52" s="30"/>
      <c r="M52" s="25"/>
      <c r="N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 spans="1:28" ht="14.4" customHeight="1">
      <c r="C53" t="s">
        <v>103</v>
      </c>
      <c r="E53" s="76">
        <v>-850</v>
      </c>
      <c r="F53" s="76">
        <v>-208</v>
      </c>
      <c r="G53" s="76">
        <v>-165</v>
      </c>
      <c r="H53" s="76">
        <v>20</v>
      </c>
      <c r="I53" s="76"/>
      <c r="J53" s="70"/>
      <c r="K53" s="31"/>
      <c r="L53" s="30"/>
      <c r="M53" s="25"/>
      <c r="N53" s="25"/>
      <c r="O53" s="67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 spans="1:28" ht="14.4" customHeight="1">
      <c r="C54" t="s">
        <v>87</v>
      </c>
      <c r="E54" s="76">
        <f>SUM(E52:E53)</f>
        <v>2600</v>
      </c>
      <c r="F54" s="76">
        <f t="shared" ref="F54:H54" si="8">SUM(F52:F53)</f>
        <v>658</v>
      </c>
      <c r="G54" s="76">
        <f t="shared" si="8"/>
        <v>525</v>
      </c>
      <c r="H54" s="76">
        <f t="shared" si="8"/>
        <v>-61</v>
      </c>
      <c r="I54" s="76"/>
      <c r="J54" s="70"/>
      <c r="K54" s="31"/>
      <c r="L54" s="30"/>
      <c r="M54" s="25"/>
      <c r="N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 spans="1:28" ht="14.4" customHeight="1">
      <c r="C55" s="2" t="s">
        <v>35</v>
      </c>
      <c r="E55" s="79">
        <v>1.9</v>
      </c>
      <c r="F55" s="79">
        <v>0.49</v>
      </c>
      <c r="G55" s="79">
        <v>0.53</v>
      </c>
      <c r="H55" s="79">
        <v>0.24</v>
      </c>
      <c r="I55" s="79"/>
      <c r="J55" s="70"/>
      <c r="K55" s="31"/>
      <c r="L55" s="30"/>
      <c r="M55" s="25"/>
      <c r="N55" s="25"/>
      <c r="O55" s="2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 spans="1:28" ht="14.4" customHeight="1">
      <c r="C56" s="2"/>
      <c r="E56" s="76"/>
      <c r="F56" s="76"/>
      <c r="G56" s="76"/>
      <c r="H56" s="76"/>
      <c r="I56" s="48"/>
      <c r="J56" s="70"/>
      <c r="K56" s="31"/>
      <c r="L56" s="30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 spans="1:28" ht="14.4" customHeight="1">
      <c r="C57" s="63" t="s">
        <v>104</v>
      </c>
      <c r="E57" s="76">
        <v>-700</v>
      </c>
      <c r="F57" s="76">
        <v>-263</v>
      </c>
      <c r="G57" s="76">
        <v>-31</v>
      </c>
      <c r="H57" s="76">
        <v>-12</v>
      </c>
      <c r="I57" s="72"/>
      <c r="J57" s="70"/>
      <c r="K57" s="31"/>
      <c r="L57" s="30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 spans="1:28" ht="14.4" customHeight="1">
      <c r="C58" s="2" t="s">
        <v>12</v>
      </c>
      <c r="E58" s="77">
        <f>E48-E57</f>
        <v>4300</v>
      </c>
      <c r="F58" s="77">
        <f>F48-F57</f>
        <v>1262</v>
      </c>
      <c r="G58" s="77">
        <f>G48-G57</f>
        <v>707</v>
      </c>
      <c r="H58" s="77">
        <f>H48-H57</f>
        <v>-69</v>
      </c>
      <c r="I58" s="73" t="s">
        <v>117</v>
      </c>
      <c r="J58" s="70"/>
      <c r="K58" s="31"/>
      <c r="L58" s="30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 spans="1:28" ht="14.4" customHeight="1">
      <c r="J59" s="54"/>
      <c r="K59" s="31"/>
      <c r="L59" s="30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 spans="1:28" ht="14.4" customHeight="1">
      <c r="E60" s="53" t="str">
        <f>E$8</f>
        <v>PEP</v>
      </c>
      <c r="F60" s="53" t="str">
        <f>F$8</f>
        <v>KDP</v>
      </c>
      <c r="G60" s="53" t="str">
        <f>G$8</f>
        <v>MNST</v>
      </c>
      <c r="H60" s="53" t="str">
        <f>H$8</f>
        <v>CELH</v>
      </c>
      <c r="I60" s="53">
        <f>I$8</f>
        <v>0</v>
      </c>
      <c r="J60" s="54"/>
      <c r="K60" s="31"/>
      <c r="L60" s="30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 spans="1:28" ht="14.4" customHeight="1">
      <c r="A61" s="60" t="s">
        <v>116</v>
      </c>
      <c r="B61" s="58"/>
      <c r="C61" t="s">
        <v>10</v>
      </c>
      <c r="E61" s="78">
        <v>22730</v>
      </c>
      <c r="F61" s="78">
        <v>4160</v>
      </c>
      <c r="G61" s="78">
        <v>2110</v>
      </c>
      <c r="H61" s="78">
        <v>739</v>
      </c>
      <c r="I61" s="78"/>
      <c r="J61" s="54"/>
      <c r="K61" s="31"/>
      <c r="L61" s="30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 spans="1:28" ht="14.4" customHeight="1">
      <c r="C62" t="s">
        <v>97</v>
      </c>
      <c r="E62" s="78">
        <v>10213</v>
      </c>
      <c r="F62" s="78">
        <v>1862</v>
      </c>
      <c r="G62" s="78">
        <v>935</v>
      </c>
      <c r="H62" s="78">
        <v>358</v>
      </c>
      <c r="I62" s="78"/>
      <c r="J62" s="54"/>
      <c r="K62" s="31"/>
      <c r="L62" s="30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 spans="1:28" ht="14.4" customHeight="1">
      <c r="C63" t="s">
        <v>86</v>
      </c>
      <c r="E63" s="76">
        <f t="shared" ref="E63:H63" si="9">E61-E62</f>
        <v>12517</v>
      </c>
      <c r="F63" s="76">
        <f t="shared" si="9"/>
        <v>2298</v>
      </c>
      <c r="G63" s="76">
        <f t="shared" si="9"/>
        <v>1175</v>
      </c>
      <c r="H63" s="76">
        <f t="shared" si="9"/>
        <v>381</v>
      </c>
      <c r="I63" s="78"/>
      <c r="J63" s="54"/>
      <c r="K63" s="31"/>
      <c r="L63" s="30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 spans="1:28" ht="14.4" customHeight="1">
      <c r="C64" t="s">
        <v>98</v>
      </c>
      <c r="E64" s="78">
        <v>8950</v>
      </c>
      <c r="F64" s="78">
        <v>1270</v>
      </c>
      <c r="G64" s="78">
        <v>545</v>
      </c>
      <c r="H64" s="78">
        <v>238</v>
      </c>
      <c r="I64" s="78"/>
      <c r="J64" s="54"/>
      <c r="K64" s="31"/>
      <c r="L64" s="30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 spans="3:28" ht="14.4" customHeight="1">
      <c r="C65" t="s">
        <v>99</v>
      </c>
      <c r="E65" s="78">
        <v>2307</v>
      </c>
      <c r="F65" s="78">
        <v>130</v>
      </c>
      <c r="G65" s="78">
        <v>0</v>
      </c>
      <c r="H65" s="78">
        <v>0</v>
      </c>
      <c r="I65" s="78"/>
      <c r="J65" s="54"/>
      <c r="K65" s="31"/>
      <c r="L65" s="30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 spans="3:28" ht="14.4" customHeight="1">
      <c r="C66" s="2" t="s">
        <v>11</v>
      </c>
      <c r="D66" s="2"/>
      <c r="E66" s="77">
        <f>E63-E64-E65</f>
        <v>1260</v>
      </c>
      <c r="F66" s="77">
        <f t="shared" ref="F66:H66" si="10">F63-F64-F65</f>
        <v>898</v>
      </c>
      <c r="G66" s="77">
        <f t="shared" si="10"/>
        <v>630</v>
      </c>
      <c r="H66" s="77">
        <f t="shared" si="10"/>
        <v>143</v>
      </c>
      <c r="I66" s="78"/>
      <c r="J66" s="54"/>
      <c r="K66" s="31"/>
      <c r="L66" s="30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 spans="3:28" ht="14.4" customHeight="1">
      <c r="C67" t="s">
        <v>100</v>
      </c>
      <c r="E67" s="76">
        <v>-235</v>
      </c>
      <c r="F67" s="76">
        <v>-145</v>
      </c>
      <c r="G67" s="76">
        <v>-1</v>
      </c>
      <c r="H67" s="76">
        <v>-5</v>
      </c>
      <c r="I67" s="78"/>
      <c r="J67" s="54"/>
      <c r="K67" s="31"/>
      <c r="L67" s="30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 spans="3:28" ht="14.4" customHeight="1">
      <c r="C68" t="s">
        <v>101</v>
      </c>
      <c r="E68" s="76">
        <v>70</v>
      </c>
      <c r="F68" s="76">
        <v>15</v>
      </c>
      <c r="G68" s="76">
        <v>14</v>
      </c>
      <c r="H68" s="76">
        <v>2</v>
      </c>
      <c r="I68" s="78"/>
      <c r="J68" s="54"/>
      <c r="K68" s="31"/>
      <c r="L68" s="30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 spans="3:28" ht="14.4" customHeight="1">
      <c r="C69" t="s">
        <v>102</v>
      </c>
      <c r="E69" s="76">
        <v>-1</v>
      </c>
      <c r="F69" s="76">
        <v>-2</v>
      </c>
      <c r="G69" s="76">
        <v>0</v>
      </c>
      <c r="H69" s="76">
        <v>-1</v>
      </c>
      <c r="I69" s="78"/>
      <c r="J69" s="54"/>
      <c r="K69" s="31"/>
      <c r="L69" s="30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 spans="3:28" ht="14.4" customHeight="1">
      <c r="C70" s="2" t="s">
        <v>32</v>
      </c>
      <c r="E70" s="77">
        <f>SUM(E66:E69)</f>
        <v>1094</v>
      </c>
      <c r="F70" s="77">
        <f t="shared" ref="F70:H70" si="11">SUM(F66:F69)</f>
        <v>766</v>
      </c>
      <c r="G70" s="77">
        <f t="shared" si="11"/>
        <v>643</v>
      </c>
      <c r="H70" s="77">
        <f t="shared" si="11"/>
        <v>139</v>
      </c>
      <c r="I70" s="78"/>
      <c r="J70" s="54"/>
      <c r="K70" s="31"/>
      <c r="L70" s="30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 spans="3:28" ht="14.4" customHeight="1">
      <c r="C71" t="s">
        <v>103</v>
      </c>
      <c r="E71" s="76">
        <v>166</v>
      </c>
      <c r="F71" s="76">
        <v>-219</v>
      </c>
      <c r="G71" s="76">
        <v>-156</v>
      </c>
      <c r="H71" s="76">
        <v>-39</v>
      </c>
      <c r="I71" s="78"/>
      <c r="J71" s="54"/>
      <c r="K71" s="31"/>
      <c r="L71" s="30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spans="3:28" ht="14.4" customHeight="1">
      <c r="C72" t="s">
        <v>87</v>
      </c>
      <c r="E72" s="76">
        <f>SUM(E70:E71)</f>
        <v>1260</v>
      </c>
      <c r="F72" s="76">
        <f t="shared" ref="F72:H72" si="12">SUM(F70:F71)</f>
        <v>547</v>
      </c>
      <c r="G72" s="76">
        <f t="shared" si="12"/>
        <v>487</v>
      </c>
      <c r="H72" s="76">
        <f t="shared" si="12"/>
        <v>100</v>
      </c>
      <c r="I72" s="78"/>
      <c r="J72" s="54"/>
      <c r="K72" s="31"/>
      <c r="L72" s="30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spans="3:28" ht="14.4" customHeight="1">
      <c r="C73" s="2" t="s">
        <v>35</v>
      </c>
      <c r="E73" s="79">
        <v>0.92</v>
      </c>
      <c r="F73" s="79">
        <v>0.4</v>
      </c>
      <c r="G73" s="79">
        <v>0.5</v>
      </c>
      <c r="H73" s="79">
        <v>0.33</v>
      </c>
      <c r="I73" s="78"/>
      <c r="J73" s="54"/>
      <c r="K73" s="31"/>
      <c r="L73" s="30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 spans="3:28" ht="14.4" customHeight="1">
      <c r="C74" s="2"/>
      <c r="E74" s="78"/>
      <c r="F74" s="78"/>
      <c r="G74" s="78"/>
      <c r="H74" s="78"/>
      <c r="I74" s="78"/>
      <c r="J74" s="54"/>
      <c r="K74" s="31"/>
      <c r="L74" s="30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spans="3:28" ht="14.4" customHeight="1">
      <c r="C75" s="63" t="s">
        <v>104</v>
      </c>
      <c r="E75" s="76">
        <v>-685</v>
      </c>
      <c r="F75" s="76">
        <v>-256</v>
      </c>
      <c r="G75" s="76">
        <v>-36</v>
      </c>
      <c r="H75" s="76">
        <v>-11</v>
      </c>
      <c r="I75" s="78"/>
      <c r="J75" s="54"/>
      <c r="K75" s="31"/>
      <c r="L75" s="30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 spans="3:28" ht="14.4" customHeight="1">
      <c r="C76" s="2" t="s">
        <v>12</v>
      </c>
      <c r="E76" s="77">
        <f>E66-E75</f>
        <v>1945</v>
      </c>
      <c r="F76" s="77">
        <f>F66-F75</f>
        <v>1154</v>
      </c>
      <c r="G76" s="77">
        <f>G66-G75</f>
        <v>666</v>
      </c>
      <c r="H76" s="77">
        <f>H66-H75</f>
        <v>154</v>
      </c>
      <c r="I76" s="89"/>
      <c r="J76" s="54"/>
      <c r="K76" s="31"/>
      <c r="L76" s="30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 spans="3:28" ht="14.4" customHeight="1">
      <c r="J77" s="54"/>
      <c r="K77" s="31"/>
      <c r="L77" s="30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spans="3:28" ht="14.4" customHeight="1">
      <c r="C78" s="81" t="s">
        <v>34</v>
      </c>
      <c r="D78" s="82"/>
      <c r="E78" s="83" t="str">
        <f>E$8</f>
        <v>PEP</v>
      </c>
      <c r="F78" s="83" t="str">
        <f>F$8</f>
        <v>KDP</v>
      </c>
      <c r="G78" s="83" t="str">
        <f>G$8</f>
        <v>MNST</v>
      </c>
      <c r="H78" s="83" t="str">
        <f>H$8</f>
        <v>CELH</v>
      </c>
      <c r="I78" s="83">
        <f>I$8</f>
        <v>0</v>
      </c>
      <c r="J78" s="54"/>
      <c r="K78" s="31"/>
      <c r="L78" s="30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 spans="3:28" ht="14.4" customHeight="1">
      <c r="E79" s="4"/>
      <c r="F79" s="4"/>
      <c r="G79" s="4"/>
      <c r="H79" s="4"/>
      <c r="I79" s="4"/>
      <c r="J79" s="54"/>
      <c r="K79" s="31"/>
      <c r="L79" s="30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 spans="3:28" ht="14.4" customHeight="1">
      <c r="C80" s="13" t="s">
        <v>41</v>
      </c>
      <c r="D80" s="13"/>
      <c r="E80" s="115">
        <v>45906</v>
      </c>
      <c r="F80" s="115">
        <v>45930</v>
      </c>
      <c r="G80" s="115">
        <v>45930</v>
      </c>
      <c r="H80" s="115">
        <v>45930</v>
      </c>
      <c r="I80" s="113"/>
      <c r="J80" s="54"/>
      <c r="K80" s="31"/>
      <c r="L80" s="30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 spans="1:28" ht="14.4" customHeight="1">
      <c r="C81" t="s">
        <v>42</v>
      </c>
      <c r="E81" s="114">
        <f>E25+E43-E61</f>
        <v>93064</v>
      </c>
      <c r="F81" s="114">
        <f>F25+F43-F61</f>
        <v>15500</v>
      </c>
      <c r="G81" s="114">
        <f>G25+G43-G61</f>
        <v>7583</v>
      </c>
      <c r="H81" s="114">
        <f>H25+H43-H61</f>
        <v>1342</v>
      </c>
      <c r="I81" s="114"/>
      <c r="J81" s="54"/>
      <c r="K81" s="31"/>
      <c r="L81" s="30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 spans="1:28" ht="14.4" customHeight="1">
      <c r="C82" t="s">
        <v>43</v>
      </c>
      <c r="E82" s="11">
        <f>E40+E58-E76</f>
        <v>18042</v>
      </c>
      <c r="F82" s="11">
        <f>F40+F58-F76</f>
        <v>3738</v>
      </c>
      <c r="G82" s="11">
        <f>G40+G58-G76</f>
        <v>2083</v>
      </c>
      <c r="H82" s="11">
        <f>H40+H58-H76</f>
        <v>-46</v>
      </c>
      <c r="I82" s="11"/>
      <c r="J82" s="54"/>
      <c r="K82" s="31"/>
      <c r="L82" s="30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 spans="1:28" ht="14.4" customHeight="1">
      <c r="C83" t="s">
        <v>44</v>
      </c>
      <c r="E83" s="11">
        <f>E30+E48-E66</f>
        <v>15227</v>
      </c>
      <c r="F83" s="11">
        <f>F30+F48-F66</f>
        <v>2681</v>
      </c>
      <c r="G83" s="11">
        <f>G30+G48-G66</f>
        <v>1976</v>
      </c>
      <c r="H83" s="11">
        <f>H30+H48-H66</f>
        <v>-79</v>
      </c>
      <c r="I83" s="11"/>
      <c r="J83" s="54"/>
      <c r="K83" s="31"/>
      <c r="L83" s="30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 spans="1:28" ht="14.4" customHeight="1">
      <c r="C84" t="s">
        <v>45</v>
      </c>
      <c r="E84" s="64">
        <f>E37+E55-E73</f>
        <v>7.93</v>
      </c>
      <c r="F84" s="64">
        <f>F37+F55-F73</f>
        <v>1.1400000000000001</v>
      </c>
      <c r="G84" s="64">
        <f>G37+G55-G73</f>
        <v>1.52</v>
      </c>
      <c r="H84" s="64">
        <f>H37+H55-H73</f>
        <v>0.35999999999999993</v>
      </c>
      <c r="I84" s="64"/>
      <c r="J84" s="54"/>
      <c r="K84" s="31"/>
      <c r="L84" s="30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 spans="1:28" ht="14.4" customHeight="1">
      <c r="J85" s="54"/>
      <c r="K85" s="31"/>
      <c r="L85" s="30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 spans="1:28" ht="14.4" customHeight="1">
      <c r="C86" s="81" t="s">
        <v>9</v>
      </c>
      <c r="D86" s="82"/>
      <c r="E86" s="83" t="str">
        <f>E$8</f>
        <v>PEP</v>
      </c>
      <c r="F86" s="83" t="str">
        <f>F$8</f>
        <v>KDP</v>
      </c>
      <c r="G86" s="83" t="str">
        <f>G$8</f>
        <v>MNST</v>
      </c>
      <c r="H86" s="83" t="str">
        <f>H$8</f>
        <v>CELH</v>
      </c>
      <c r="I86" s="83">
        <f>I$8</f>
        <v>0</v>
      </c>
      <c r="J86" s="54"/>
      <c r="K86" s="31"/>
      <c r="L86" s="30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 spans="1:28" ht="14.4" customHeight="1">
      <c r="E87" s="4"/>
      <c r="F87" s="4"/>
      <c r="G87" s="4"/>
      <c r="H87" s="4"/>
      <c r="I87" s="4"/>
      <c r="J87" s="54"/>
      <c r="K87" s="31"/>
      <c r="L87" s="30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 spans="1:28" ht="14.4" customHeight="1">
      <c r="C88" s="13" t="s">
        <v>40</v>
      </c>
      <c r="D88" s="13"/>
      <c r="E88" s="115">
        <v>45654</v>
      </c>
      <c r="F88" s="115">
        <v>45657</v>
      </c>
      <c r="G88" s="115">
        <v>45657</v>
      </c>
      <c r="H88" s="115">
        <v>45657</v>
      </c>
      <c r="I88" s="115"/>
      <c r="J88" s="54"/>
      <c r="K88" s="31"/>
      <c r="L88" s="30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 spans="1:28" ht="14.4" customHeight="1">
      <c r="C89" t="s">
        <v>21</v>
      </c>
      <c r="E89" s="114">
        <f>E25</f>
        <v>91854</v>
      </c>
      <c r="F89" s="114">
        <f>F25</f>
        <v>15350</v>
      </c>
      <c r="G89" s="114">
        <f>G25</f>
        <v>7493</v>
      </c>
      <c r="H89" s="114">
        <f>H25</f>
        <v>1356</v>
      </c>
      <c r="I89" s="114"/>
      <c r="J89" s="54"/>
      <c r="K89" s="31"/>
      <c r="L89" s="30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 spans="1:28" ht="14.4" customHeight="1">
      <c r="C90" t="s">
        <v>20</v>
      </c>
      <c r="E90" s="11">
        <f>E40</f>
        <v>15687</v>
      </c>
      <c r="F90" s="11">
        <f>F40</f>
        <v>3630</v>
      </c>
      <c r="G90" s="11">
        <f>G40</f>
        <v>2042</v>
      </c>
      <c r="H90" s="11">
        <f>H40</f>
        <v>177</v>
      </c>
      <c r="I90" s="11"/>
      <c r="J90" s="54"/>
      <c r="K90" s="31"/>
      <c r="L90" s="30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 spans="1:28" ht="14.4" customHeight="1">
      <c r="C91" t="s">
        <v>19</v>
      </c>
      <c r="E91" s="11">
        <f>E30</f>
        <v>12887</v>
      </c>
      <c r="F91" s="11">
        <f>F30</f>
        <v>2580</v>
      </c>
      <c r="G91" s="11">
        <f>G30</f>
        <v>1930</v>
      </c>
      <c r="H91" s="11">
        <f>H30</f>
        <v>145</v>
      </c>
      <c r="I91" s="11"/>
      <c r="J91" s="54"/>
      <c r="K91" s="31"/>
      <c r="L91" s="30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 spans="1:28" ht="14.4" customHeight="1">
      <c r="C92" t="s">
        <v>18</v>
      </c>
      <c r="E92" s="64">
        <f>E37</f>
        <v>6.95</v>
      </c>
      <c r="F92" s="64">
        <f>F37</f>
        <v>1.05</v>
      </c>
      <c r="G92" s="64">
        <f>G37</f>
        <v>1.49</v>
      </c>
      <c r="H92" s="64">
        <f>H37</f>
        <v>0.45</v>
      </c>
      <c r="I92" s="64"/>
      <c r="J92" s="54"/>
      <c r="K92" s="31"/>
      <c r="L92" s="30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 spans="1:28" ht="14.4" customHeight="1">
      <c r="E93" s="64"/>
      <c r="F93" s="64"/>
      <c r="G93" s="64"/>
      <c r="H93" s="64"/>
      <c r="I93" s="64"/>
      <c r="J93" s="54"/>
      <c r="K93" s="31"/>
      <c r="L93" s="30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28" ht="14.4" customHeight="1">
      <c r="A94" s="97" t="s">
        <v>118</v>
      </c>
      <c r="B94" s="98"/>
      <c r="C94" s="98"/>
      <c r="D94" s="98"/>
      <c r="E94" s="99"/>
      <c r="F94" s="99"/>
      <c r="G94" s="99"/>
      <c r="H94" s="99"/>
      <c r="I94" s="99"/>
      <c r="J94" s="100"/>
      <c r="K94" s="31"/>
      <c r="L94" s="30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28" ht="14.4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31"/>
      <c r="L95" s="30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 spans="1:28" ht="14.4" customHeight="1">
      <c r="A96" s="2"/>
      <c r="C96" s="101" t="s">
        <v>36</v>
      </c>
      <c r="D96" s="102"/>
      <c r="E96" s="103" t="str">
        <f>E$8</f>
        <v>PEP</v>
      </c>
      <c r="F96" s="103" t="str">
        <f>F$8</f>
        <v>KDP</v>
      </c>
      <c r="G96" s="103" t="str">
        <f>G$8</f>
        <v>MNST</v>
      </c>
      <c r="H96" s="103" t="str">
        <f>H$8</f>
        <v>CELH</v>
      </c>
      <c r="I96" s="103">
        <f>I$8</f>
        <v>0</v>
      </c>
      <c r="J96" s="54"/>
      <c r="K96" s="31"/>
      <c r="L96" s="30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 spans="3:28" ht="14.4" customHeight="1">
      <c r="E97" s="4"/>
      <c r="F97" s="4"/>
      <c r="G97" s="4"/>
      <c r="H97" s="4"/>
      <c r="I97" s="4"/>
      <c r="J97" s="54"/>
      <c r="K97" s="31"/>
      <c r="L97" s="30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 spans="3:28" ht="14.4" customHeight="1">
      <c r="C98" s="13" t="s">
        <v>40</v>
      </c>
      <c r="D98" s="13"/>
      <c r="E98" s="91">
        <v>46387</v>
      </c>
      <c r="F98" s="91">
        <v>46387</v>
      </c>
      <c r="G98" s="91">
        <v>46387</v>
      </c>
      <c r="H98" s="91">
        <v>46387</v>
      </c>
      <c r="I98" s="91">
        <v>46387</v>
      </c>
      <c r="J98" s="54"/>
      <c r="K98" s="31"/>
      <c r="L98" s="30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3:28" ht="14.4" customHeight="1">
      <c r="C99" t="s">
        <v>47</v>
      </c>
      <c r="E99" s="76">
        <v>98280</v>
      </c>
      <c r="F99" s="76">
        <v>16425</v>
      </c>
      <c r="G99" s="76">
        <v>8610</v>
      </c>
      <c r="H99" s="76">
        <v>3610</v>
      </c>
      <c r="I99" s="76"/>
      <c r="J99" s="54"/>
      <c r="K99" s="31"/>
      <c r="L99" s="30"/>
      <c r="M99" s="25"/>
      <c r="N99" s="4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 spans="3:28" ht="14.4" customHeight="1">
      <c r="C100" t="s">
        <v>48</v>
      </c>
      <c r="E100" s="76">
        <v>16850</v>
      </c>
      <c r="F100" s="76">
        <v>4010</v>
      </c>
      <c r="G100" s="76">
        <v>2410</v>
      </c>
      <c r="H100" s="76">
        <v>485</v>
      </c>
      <c r="I100" s="76"/>
      <c r="J100" s="54"/>
      <c r="K100" s="31"/>
      <c r="L100" s="30"/>
      <c r="M100" s="25"/>
      <c r="N100" s="4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 spans="3:28" ht="14.4" customHeight="1">
      <c r="C101" t="s">
        <v>49</v>
      </c>
      <c r="E101" s="76">
        <v>13970</v>
      </c>
      <c r="F101" s="76">
        <v>2950</v>
      </c>
      <c r="G101" s="76">
        <v>2240</v>
      </c>
      <c r="H101" s="76">
        <v>395</v>
      </c>
      <c r="I101" s="76"/>
      <c r="J101" s="54"/>
      <c r="K101" s="31"/>
      <c r="L101" s="30"/>
      <c r="M101" s="25"/>
      <c r="N101" s="4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 spans="3:28" ht="14.4" customHeight="1">
      <c r="C102" t="s">
        <v>50</v>
      </c>
      <c r="E102" s="93">
        <v>8.75</v>
      </c>
      <c r="F102" s="93">
        <v>2.25</v>
      </c>
      <c r="G102" s="93">
        <v>1.85</v>
      </c>
      <c r="H102" s="93">
        <v>1.1499999999999999</v>
      </c>
      <c r="I102" s="93"/>
      <c r="J102" s="54"/>
      <c r="K102" s="31"/>
      <c r="L102" s="30"/>
      <c r="M102" s="25"/>
      <c r="N102" s="4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 spans="3:28" ht="14.4" customHeight="1">
      <c r="C103" s="12" t="s">
        <v>39</v>
      </c>
      <c r="D103" s="12"/>
      <c r="E103" s="65" t="s">
        <v>38</v>
      </c>
      <c r="F103" s="65" t="s">
        <v>38</v>
      </c>
      <c r="G103" s="65" t="s">
        <v>38</v>
      </c>
      <c r="H103" s="65" t="s">
        <v>38</v>
      </c>
      <c r="I103" s="65"/>
      <c r="J103" s="54"/>
      <c r="K103" s="31"/>
      <c r="L103" s="30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 spans="3:28" ht="14.4" customHeight="1">
      <c r="J104" s="54"/>
      <c r="K104" s="31"/>
      <c r="L104" s="30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 spans="3:28" ht="14.4" customHeight="1">
      <c r="C105" s="101" t="s">
        <v>37</v>
      </c>
      <c r="D105" s="102"/>
      <c r="E105" s="103" t="str">
        <f>E$8</f>
        <v>PEP</v>
      </c>
      <c r="F105" s="103" t="str">
        <f>F$8</f>
        <v>KDP</v>
      </c>
      <c r="G105" s="103" t="str">
        <f>G$8</f>
        <v>MNST</v>
      </c>
      <c r="H105" s="103" t="str">
        <f>H$8</f>
        <v>CELH</v>
      </c>
      <c r="I105" s="103">
        <f>I$8</f>
        <v>0</v>
      </c>
      <c r="J105" s="54"/>
      <c r="K105" s="31"/>
      <c r="L105" s="30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 spans="3:28" ht="14.4" customHeight="1">
      <c r="E106" s="66"/>
      <c r="F106" s="66"/>
      <c r="J106" s="54"/>
      <c r="K106" s="31"/>
      <c r="L106" s="30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 spans="3:28" ht="14.4" customHeight="1">
      <c r="C107" s="13" t="s">
        <v>40</v>
      </c>
      <c r="D107" s="13"/>
      <c r="E107" s="94">
        <f t="shared" ref="E107:I107" si="13">EOMONTH(E98,12)</f>
        <v>46752</v>
      </c>
      <c r="F107" s="94">
        <f t="shared" si="13"/>
        <v>46752</v>
      </c>
      <c r="G107" s="94">
        <f t="shared" si="13"/>
        <v>46752</v>
      </c>
      <c r="H107" s="94">
        <f t="shared" si="13"/>
        <v>46752</v>
      </c>
      <c r="I107" s="94">
        <f t="shared" si="13"/>
        <v>46752</v>
      </c>
      <c r="J107" s="54"/>
      <c r="K107" s="31"/>
      <c r="L107" s="30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 spans="3:28" ht="14.4" customHeight="1">
      <c r="C108" t="s">
        <v>51</v>
      </c>
      <c r="E108" s="76">
        <v>102150</v>
      </c>
      <c r="F108" s="76">
        <v>17110</v>
      </c>
      <c r="G108" s="76">
        <v>9340</v>
      </c>
      <c r="H108" s="76">
        <v>4080</v>
      </c>
      <c r="I108" s="73"/>
      <c r="J108" s="54"/>
      <c r="K108" s="31"/>
      <c r="L108" s="30"/>
      <c r="M108" s="25"/>
      <c r="N108" s="4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spans="3:28" ht="14.4" customHeight="1">
      <c r="C109" t="s">
        <v>52</v>
      </c>
      <c r="E109" s="76">
        <v>17920</v>
      </c>
      <c r="F109" s="76">
        <v>4245</v>
      </c>
      <c r="G109" s="76">
        <v>2695</v>
      </c>
      <c r="H109" s="76">
        <v>610</v>
      </c>
      <c r="I109" s="72"/>
      <c r="J109" s="54"/>
      <c r="K109" s="31"/>
      <c r="L109" s="30"/>
      <c r="M109" s="25"/>
      <c r="N109" s="4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 spans="3:28" ht="14.4" customHeight="1">
      <c r="C110" t="s">
        <v>53</v>
      </c>
      <c r="E110" s="76">
        <v>14940</v>
      </c>
      <c r="F110" s="76">
        <v>3150</v>
      </c>
      <c r="G110" s="76">
        <v>2510</v>
      </c>
      <c r="H110" s="76">
        <v>520</v>
      </c>
      <c r="I110" s="72"/>
      <c r="J110" s="54"/>
      <c r="K110" s="31"/>
      <c r="L110" s="30"/>
      <c r="M110" s="25"/>
      <c r="N110" s="4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 spans="3:28" ht="14.4" customHeight="1">
      <c r="C111" t="s">
        <v>54</v>
      </c>
      <c r="E111" s="93">
        <v>9.65</v>
      </c>
      <c r="F111" s="93">
        <v>2.48</v>
      </c>
      <c r="G111" s="93">
        <v>2.0499999999999998</v>
      </c>
      <c r="H111" s="93">
        <v>1.95</v>
      </c>
      <c r="I111" s="92"/>
      <c r="J111" s="54"/>
      <c r="K111" s="31"/>
      <c r="L111" s="30"/>
      <c r="M111" s="25"/>
      <c r="N111" s="4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 spans="3:28" ht="14.4" customHeight="1">
      <c r="C112" s="12" t="s">
        <v>39</v>
      </c>
      <c r="D112" s="12"/>
      <c r="E112" s="95" t="s">
        <v>38</v>
      </c>
      <c r="F112" s="95" t="s">
        <v>38</v>
      </c>
      <c r="G112" s="95" t="s">
        <v>38</v>
      </c>
      <c r="H112" s="95" t="s">
        <v>38</v>
      </c>
      <c r="I112" s="95"/>
      <c r="J112" s="54"/>
      <c r="K112" s="31"/>
      <c r="L112" s="30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 spans="1:28" ht="14.4" customHeight="1">
      <c r="E113" s="66"/>
      <c r="F113" s="66"/>
      <c r="J113" s="54"/>
      <c r="K113" s="31"/>
      <c r="L113" s="30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 spans="1:28" ht="14.4" customHeight="1">
      <c r="C114" s="101" t="s">
        <v>46</v>
      </c>
      <c r="D114" s="102"/>
      <c r="E114" s="103" t="str">
        <f>E$8</f>
        <v>PEP</v>
      </c>
      <c r="F114" s="103" t="str">
        <f>F$8</f>
        <v>KDP</v>
      </c>
      <c r="G114" s="103" t="str">
        <f>G$8</f>
        <v>MNST</v>
      </c>
      <c r="H114" s="103" t="str">
        <f>H$8</f>
        <v>CELH</v>
      </c>
      <c r="I114" s="103">
        <f>I$8</f>
        <v>0</v>
      </c>
      <c r="J114" s="54"/>
      <c r="K114" s="31"/>
      <c r="L114" s="30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spans="1:28" ht="14.4" customHeight="1">
      <c r="E115" s="66"/>
      <c r="F115" s="66"/>
      <c r="J115" s="54"/>
      <c r="K115" s="31"/>
      <c r="L115" s="30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spans="1:28" ht="14.4" customHeight="1">
      <c r="C116" t="s">
        <v>26</v>
      </c>
      <c r="E116" s="96">
        <v>5.7000000000000002E-2</v>
      </c>
      <c r="F116" s="96">
        <v>4.2000000000000003E-2</v>
      </c>
      <c r="G116" s="96">
        <v>0.16800000000000001</v>
      </c>
      <c r="H116" s="96">
        <v>0.36199999999999999</v>
      </c>
      <c r="I116" s="96"/>
      <c r="J116" s="54"/>
      <c r="K116" s="31"/>
      <c r="L116" s="30"/>
      <c r="M116" s="25"/>
      <c r="N116" s="4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spans="1:28" ht="14.4" customHeight="1">
      <c r="C117" s="12" t="s">
        <v>39</v>
      </c>
      <c r="D117" s="12"/>
      <c r="E117" s="95" t="s">
        <v>38</v>
      </c>
      <c r="F117" s="95" t="s">
        <v>38</v>
      </c>
      <c r="G117" s="95" t="s">
        <v>38</v>
      </c>
      <c r="H117" s="95" t="s">
        <v>38</v>
      </c>
      <c r="I117" s="48"/>
      <c r="J117" s="54"/>
      <c r="K117" s="31"/>
      <c r="L117" s="30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 spans="1:28" ht="14.4" customHeight="1">
      <c r="C118" s="12"/>
      <c r="D118" s="12"/>
      <c r="E118" s="65"/>
      <c r="F118" s="65"/>
      <c r="G118" s="65"/>
      <c r="H118" s="65"/>
      <c r="J118" s="54"/>
      <c r="K118" s="31"/>
      <c r="L118" s="30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 spans="1:28" ht="14.4" customHeight="1">
      <c r="A119" s="105"/>
      <c r="B119" s="106"/>
      <c r="C119" s="106"/>
      <c r="D119" s="106"/>
      <c r="E119" s="106"/>
      <c r="F119" s="106"/>
      <c r="G119" s="106"/>
      <c r="H119" s="106"/>
      <c r="I119" s="106"/>
      <c r="J119" s="107"/>
      <c r="K119" s="31"/>
      <c r="L119" s="30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 spans="1:28" ht="14.4" customHeight="1">
      <c r="C120" t="s">
        <v>15</v>
      </c>
      <c r="E120" s="72" t="s">
        <v>119</v>
      </c>
      <c r="F120" s="72"/>
      <c r="G120" s="72"/>
      <c r="H120" s="72"/>
      <c r="I120" s="72"/>
      <c r="J120" s="54"/>
      <c r="K120" s="31"/>
      <c r="L120" s="30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 spans="1:28" ht="14.4" customHeight="1">
      <c r="A121" s="2" t="s">
        <v>120</v>
      </c>
      <c r="C121" t="s">
        <v>121</v>
      </c>
      <c r="E121" s="76">
        <v>6745</v>
      </c>
      <c r="F121" s="76">
        <v>2285</v>
      </c>
      <c r="G121" s="76">
        <v>0</v>
      </c>
      <c r="H121" s="76">
        <v>9</v>
      </c>
      <c r="I121" s="71"/>
      <c r="J121" s="54"/>
      <c r="K121" s="31"/>
      <c r="L121" s="30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 spans="1:28" ht="14.4" customHeight="1">
      <c r="C122" t="s">
        <v>16</v>
      </c>
      <c r="E122" s="76">
        <v>37655</v>
      </c>
      <c r="F122" s="76">
        <v>13531</v>
      </c>
      <c r="G122" s="76">
        <v>0</v>
      </c>
      <c r="H122" s="76">
        <v>861.5</v>
      </c>
      <c r="I122" s="72"/>
      <c r="J122" s="54"/>
      <c r="K122" s="31"/>
      <c r="L122" s="30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 spans="1:28" ht="14.4" customHeight="1">
      <c r="C123" t="s">
        <v>33</v>
      </c>
      <c r="E123" s="76">
        <v>138</v>
      </c>
      <c r="F123" s="76">
        <v>115</v>
      </c>
      <c r="G123" s="76">
        <v>0</v>
      </c>
      <c r="H123" s="76">
        <v>0</v>
      </c>
      <c r="I123" s="72"/>
      <c r="J123" s="54"/>
      <c r="K123" s="31"/>
      <c r="L123" s="30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 spans="1:28" ht="14.4" customHeight="1">
      <c r="C124" t="s">
        <v>122</v>
      </c>
      <c r="E124" s="76">
        <v>0</v>
      </c>
      <c r="F124" s="76">
        <v>0</v>
      </c>
      <c r="G124" s="76">
        <v>0</v>
      </c>
      <c r="H124" s="76">
        <v>852.4</v>
      </c>
      <c r="I124" s="72"/>
      <c r="J124" s="54"/>
      <c r="K124" s="31"/>
      <c r="L124" s="30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 spans="1:28" ht="14.4" customHeight="1">
      <c r="C125" t="s">
        <v>123</v>
      </c>
      <c r="E125" s="76">
        <f>SUM(E121:E124)</f>
        <v>44538</v>
      </c>
      <c r="F125" s="76">
        <f>SUM(F121:F124)</f>
        <v>15931</v>
      </c>
      <c r="G125" s="76">
        <f>SUM(G121:G124)</f>
        <v>0</v>
      </c>
      <c r="H125" s="76">
        <f>SUM(H121:H124)</f>
        <v>1722.9</v>
      </c>
      <c r="I125" s="72"/>
      <c r="J125" s="54"/>
      <c r="K125" s="31"/>
      <c r="L125" s="30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 spans="1:28" ht="14.4" customHeight="1">
      <c r="C126" t="s">
        <v>124</v>
      </c>
      <c r="E126" s="76">
        <v>-4320</v>
      </c>
      <c r="F126" s="76">
        <v>-485</v>
      </c>
      <c r="G126" s="76">
        <v>-2990</v>
      </c>
      <c r="H126" s="76">
        <v>-806</v>
      </c>
      <c r="I126" s="72"/>
      <c r="J126" s="54"/>
      <c r="K126" s="31"/>
      <c r="L126" s="30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 spans="1:28" ht="14.4" customHeight="1">
      <c r="C127" s="2" t="s">
        <v>125</v>
      </c>
      <c r="E127" s="77">
        <f>SUM(E125:E126)</f>
        <v>40218</v>
      </c>
      <c r="F127" s="77">
        <f t="shared" ref="F127:H127" si="14">SUM(F125:F126)</f>
        <v>15446</v>
      </c>
      <c r="G127" s="77">
        <v>-2990</v>
      </c>
      <c r="H127" s="77">
        <f t="shared" si="14"/>
        <v>916.90000000000009</v>
      </c>
      <c r="I127" s="104"/>
      <c r="J127" s="54"/>
      <c r="K127" s="31"/>
      <c r="L127" s="30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 spans="1:28" ht="14.4" customHeight="1">
      <c r="J128" s="54"/>
      <c r="K128" s="31"/>
      <c r="L128" s="30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 spans="1:28" ht="14.4" customHeight="1">
      <c r="A129" s="84" t="s">
        <v>55</v>
      </c>
      <c r="B129" s="58"/>
      <c r="C129" s="59"/>
      <c r="D129" s="58"/>
      <c r="E129" s="58"/>
      <c r="F129" s="60"/>
      <c r="G129" s="61"/>
      <c r="H129" s="62"/>
      <c r="I129" s="58"/>
      <c r="J129" s="54"/>
      <c r="K129" s="31"/>
      <c r="L129" s="30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 spans="1:28" ht="14.4" customHeight="1">
      <c r="E130" s="10"/>
      <c r="F130" s="10"/>
      <c r="G130" s="10"/>
      <c r="H130" s="10"/>
      <c r="I130" s="10"/>
      <c r="J130" s="54"/>
      <c r="K130" s="31"/>
      <c r="L130" s="30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 spans="1:28" ht="14.4" customHeight="1">
      <c r="C131" s="108" t="s">
        <v>73</v>
      </c>
      <c r="D131" s="83"/>
      <c r="E131" s="83" t="str">
        <f>E$8</f>
        <v>PEP</v>
      </c>
      <c r="F131" s="83" t="str">
        <f>F$8</f>
        <v>KDP</v>
      </c>
      <c r="G131" s="83" t="str">
        <f>G$8</f>
        <v>MNST</v>
      </c>
      <c r="H131" s="83" t="str">
        <f>H$8</f>
        <v>CELH</v>
      </c>
      <c r="I131" s="83">
        <f>I$8</f>
        <v>0</v>
      </c>
      <c r="J131" s="54"/>
      <c r="K131" s="31"/>
      <c r="L131" s="30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 spans="1:28" ht="14.4" customHeight="1">
      <c r="C132" s="67"/>
      <c r="E132" s="68"/>
      <c r="F132" s="68"/>
      <c r="G132" s="68"/>
      <c r="H132" s="68"/>
      <c r="I132" s="68"/>
      <c r="J132" s="54"/>
      <c r="K132" s="31"/>
      <c r="L132" s="30"/>
      <c r="M132" s="25"/>
      <c r="N132" s="44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 spans="1:28" ht="14.4" customHeight="1">
      <c r="C133" s="67" t="s">
        <v>70</v>
      </c>
      <c r="E133" s="109">
        <f>E11</f>
        <v>145.63999999999999</v>
      </c>
      <c r="F133" s="109">
        <f>F11</f>
        <v>27.56</v>
      </c>
      <c r="G133" s="109">
        <f>G11</f>
        <v>81.900000000000006</v>
      </c>
      <c r="H133" s="109">
        <f>H11</f>
        <v>55.12</v>
      </c>
      <c r="I133" s="109"/>
      <c r="J133" s="54"/>
      <c r="K133" s="31"/>
      <c r="L133" s="30"/>
      <c r="M133" s="25"/>
      <c r="N133" s="44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 spans="1:28" ht="14.4" customHeight="1">
      <c r="C134" s="67" t="s">
        <v>71</v>
      </c>
      <c r="E134" s="110">
        <f>E19</f>
        <v>1385</v>
      </c>
      <c r="F134" s="110">
        <f>F19</f>
        <v>1380</v>
      </c>
      <c r="G134" s="110">
        <f>G19</f>
        <v>990</v>
      </c>
      <c r="H134" s="110">
        <f>H19</f>
        <v>294.60000000000002</v>
      </c>
      <c r="I134" s="110"/>
      <c r="J134" s="54"/>
      <c r="K134" s="31"/>
      <c r="L134" s="30"/>
      <c r="M134" s="25"/>
      <c r="N134" s="44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spans="1:28" ht="14.4" customHeight="1">
      <c r="C135" s="2" t="s">
        <v>72</v>
      </c>
      <c r="D135" s="2"/>
      <c r="E135" s="111">
        <f>E19*E11</f>
        <v>201711.4</v>
      </c>
      <c r="F135" s="111">
        <f>F19*F11</f>
        <v>38032.799999999996</v>
      </c>
      <c r="G135" s="111">
        <f>G19*G11</f>
        <v>81081</v>
      </c>
      <c r="H135" s="111">
        <f>H19*H11</f>
        <v>16238.352000000001</v>
      </c>
      <c r="I135" s="111"/>
      <c r="J135" s="54"/>
      <c r="K135" s="31"/>
      <c r="L135" s="30"/>
      <c r="M135" s="25"/>
      <c r="N135" s="44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 spans="1:28" ht="14.4" customHeight="1">
      <c r="C136" s="2"/>
      <c r="D136" s="2"/>
      <c r="E136" s="111"/>
      <c r="F136" s="111"/>
      <c r="G136" s="111"/>
      <c r="H136" s="111"/>
      <c r="I136" s="111"/>
      <c r="J136" s="54"/>
      <c r="K136" s="31"/>
      <c r="L136" s="30"/>
      <c r="M136" s="25"/>
      <c r="N136" s="44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 spans="1:28" ht="14.4" customHeight="1">
      <c r="C137" s="67" t="s">
        <v>17</v>
      </c>
      <c r="D137" s="67"/>
      <c r="E137" s="110">
        <f>E127</f>
        <v>40218</v>
      </c>
      <c r="F137" s="110">
        <f t="shared" ref="F137:H137" si="15">F127</f>
        <v>15446</v>
      </c>
      <c r="G137" s="110">
        <f t="shared" si="15"/>
        <v>-2990</v>
      </c>
      <c r="H137" s="110">
        <f t="shared" si="15"/>
        <v>916.90000000000009</v>
      </c>
      <c r="I137" s="110"/>
      <c r="J137" s="54"/>
      <c r="K137" s="31"/>
      <c r="L137" s="30"/>
      <c r="M137" s="25"/>
      <c r="N137" s="44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 spans="1:28" ht="14.4" customHeight="1">
      <c r="C138" s="2" t="s">
        <v>69</v>
      </c>
      <c r="D138" s="2"/>
      <c r="E138" s="112">
        <f t="shared" ref="E138:H138" si="16">E135+E127</f>
        <v>241929.4</v>
      </c>
      <c r="F138" s="112">
        <f t="shared" si="16"/>
        <v>53478.799999999996</v>
      </c>
      <c r="G138" s="112">
        <f t="shared" si="16"/>
        <v>78091</v>
      </c>
      <c r="H138" s="112">
        <f t="shared" si="16"/>
        <v>17155.252</v>
      </c>
      <c r="I138" s="112"/>
      <c r="J138" s="54"/>
      <c r="K138" s="31"/>
      <c r="L138" s="30"/>
      <c r="M138" s="25"/>
      <c r="N138" s="44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 spans="1:28" ht="14.4" customHeight="1">
      <c r="J139" s="54"/>
      <c r="K139" s="31"/>
      <c r="L139" s="30"/>
      <c r="M139" s="25"/>
      <c r="N139" s="44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 spans="1:28" ht="14.4" customHeight="1">
      <c r="C140" s="108" t="s">
        <v>74</v>
      </c>
      <c r="D140" s="83"/>
      <c r="E140" s="83" t="str">
        <f>E$8</f>
        <v>PEP</v>
      </c>
      <c r="F140" s="83" t="str">
        <f>F$8</f>
        <v>KDP</v>
      </c>
      <c r="G140" s="83" t="str">
        <f>G$8</f>
        <v>MNST</v>
      </c>
      <c r="H140" s="83" t="str">
        <f>H$8</f>
        <v>CELH</v>
      </c>
      <c r="I140" s="83">
        <f>I$8</f>
        <v>0</v>
      </c>
      <c r="J140" s="54"/>
      <c r="K140" s="31"/>
      <c r="L140" s="30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 spans="1:28" ht="14.4" customHeight="1">
      <c r="E141" s="69"/>
      <c r="F141" s="69"/>
      <c r="G141" s="69"/>
      <c r="H141" s="69"/>
      <c r="I141" s="69"/>
      <c r="J141" s="54"/>
      <c r="K141" s="31"/>
      <c r="L141" s="30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spans="1:28" ht="14.4" customHeight="1">
      <c r="C142" s="3" t="s">
        <v>75</v>
      </c>
      <c r="E142" s="69"/>
      <c r="F142" s="69"/>
      <c r="G142" s="69"/>
      <c r="H142" s="69"/>
      <c r="I142" s="69"/>
      <c r="J142" s="54"/>
      <c r="K142" s="31"/>
      <c r="L142" s="30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 spans="1:28" ht="14.4" customHeight="1">
      <c r="C143" t="s">
        <v>56</v>
      </c>
      <c r="E143" s="14">
        <f>IFERROR(E138/E81, "NM")</f>
        <v>2.5996024241382272</v>
      </c>
      <c r="F143" s="14">
        <f>IFERROR(F138/F81, "NM")</f>
        <v>3.4502451612903222</v>
      </c>
      <c r="G143" s="14">
        <f>IFERROR(G138/G81, "NM")</f>
        <v>10.298166952393512</v>
      </c>
      <c r="H143" s="14">
        <f>IFERROR(H138/H81, "NM")</f>
        <v>12.783347242921014</v>
      </c>
      <c r="I143" s="14"/>
      <c r="J143" s="54"/>
      <c r="K143" s="31"/>
      <c r="L143" s="30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 spans="1:28" ht="14.4" customHeight="1">
      <c r="C144" t="s">
        <v>57</v>
      </c>
      <c r="E144" s="14">
        <f>IFERROR(E138/E82, "NM")</f>
        <v>13.409234009533311</v>
      </c>
      <c r="F144" s="14">
        <f>IFERROR(F138/F82, "NM")</f>
        <v>14.306795077581594</v>
      </c>
      <c r="G144" s="14">
        <f>IFERROR(G138/G82, "NM")</f>
        <v>37.489678348535769</v>
      </c>
      <c r="H144" s="14">
        <f>IFERROR(H138/H82, "NM")</f>
        <v>-372.94026086956524</v>
      </c>
      <c r="I144" s="14"/>
      <c r="J144" s="54"/>
      <c r="K144" s="31"/>
      <c r="L144" s="30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 spans="3:28" ht="14.4" customHeight="1">
      <c r="C145" t="s">
        <v>58</v>
      </c>
      <c r="E145" s="14">
        <f>IFERROR(E138/E83, "NM")</f>
        <v>15.888185460038089</v>
      </c>
      <c r="F145" s="14">
        <f>IFERROR(F138/F83, "NM")</f>
        <v>19.947333084669896</v>
      </c>
      <c r="G145" s="14">
        <f>IFERROR(G138/G83, "NM")</f>
        <v>39.51973684210526</v>
      </c>
      <c r="H145" s="14">
        <f>IFERROR(H138/H83, "NM")</f>
        <v>-217.15508860759493</v>
      </c>
      <c r="I145" s="14"/>
      <c r="J145" s="54"/>
      <c r="K145" s="41"/>
      <c r="L145" s="33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 spans="3:28" ht="14.4" customHeight="1">
      <c r="C146" t="s">
        <v>59</v>
      </c>
      <c r="E146" s="14">
        <f>IFERROR(E11/E84, "NM")</f>
        <v>18.365699873896595</v>
      </c>
      <c r="F146" s="14">
        <f>IFERROR(F11/F84, "NM")</f>
        <v>24.175438596491226</v>
      </c>
      <c r="G146" s="14">
        <f>IFERROR(G11/G84, "NM")</f>
        <v>53.881578947368425</v>
      </c>
      <c r="H146" s="14">
        <f>IFERROR(H11/H84, "NM")</f>
        <v>153.11111111111114</v>
      </c>
      <c r="I146" s="14"/>
      <c r="J146" s="54"/>
      <c r="K146" s="31"/>
      <c r="L146" s="30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 spans="3:28" ht="14.4" customHeight="1">
      <c r="C147" s="3" t="s">
        <v>24</v>
      </c>
      <c r="J147" s="54"/>
      <c r="K147" s="31"/>
      <c r="L147" s="30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 spans="3:28" ht="14.4" customHeight="1">
      <c r="C148" t="s">
        <v>60</v>
      </c>
      <c r="E148" s="15">
        <f t="shared" ref="E148:H150" si="17">IFERROR(E$138/E99, "NM")</f>
        <v>2.4616341066341065</v>
      </c>
      <c r="F148" s="15">
        <f t="shared" si="17"/>
        <v>3.2559391171993908</v>
      </c>
      <c r="G148" s="15">
        <f t="shared" si="17"/>
        <v>9.0698025551684083</v>
      </c>
      <c r="H148" s="15">
        <f t="shared" si="17"/>
        <v>4.7521473684210527</v>
      </c>
      <c r="I148" s="15"/>
      <c r="J148" s="54"/>
      <c r="K148" s="31"/>
      <c r="L148" s="30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 spans="3:28" ht="14.4" customHeight="1">
      <c r="C149" t="s">
        <v>61</v>
      </c>
      <c r="E149" s="15">
        <f t="shared" si="17"/>
        <v>14.357827893175074</v>
      </c>
      <c r="F149" s="15">
        <f t="shared" si="17"/>
        <v>13.336359102244389</v>
      </c>
      <c r="G149" s="15">
        <f t="shared" si="17"/>
        <v>32.402904564315349</v>
      </c>
      <c r="H149" s="15">
        <f t="shared" si="17"/>
        <v>35.371653608247421</v>
      </c>
      <c r="I149" s="15"/>
      <c r="J149" s="54"/>
      <c r="K149" s="31"/>
      <c r="L149" s="30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 spans="3:28" ht="14.4" customHeight="1">
      <c r="C150" t="s">
        <v>62</v>
      </c>
      <c r="E150" s="15">
        <f t="shared" si="17"/>
        <v>17.317780959198281</v>
      </c>
      <c r="F150" s="15">
        <f t="shared" si="17"/>
        <v>18.128406779661017</v>
      </c>
      <c r="G150" s="15">
        <f t="shared" si="17"/>
        <v>34.862053571428568</v>
      </c>
      <c r="H150" s="15">
        <f t="shared" si="17"/>
        <v>43.431017721518991</v>
      </c>
      <c r="I150" s="15"/>
      <c r="J150" s="54"/>
      <c r="K150" s="31"/>
      <c r="L150" s="30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 spans="3:28" ht="14.4" customHeight="1">
      <c r="C151" t="s">
        <v>63</v>
      </c>
      <c r="E151" s="15">
        <f>IFERROR(E133/E102, "NM")</f>
        <v>16.644571428571428</v>
      </c>
      <c r="F151" s="15">
        <f>IFERROR(F133/F102, "NM")</f>
        <v>12.248888888888889</v>
      </c>
      <c r="G151" s="15">
        <f>IFERROR(G133/G102, "NM")</f>
        <v>44.270270270270274</v>
      </c>
      <c r="H151" s="15">
        <f>IFERROR(H133/H102, "NM")</f>
        <v>47.9304347826087</v>
      </c>
      <c r="I151" s="15"/>
      <c r="J151" s="54"/>
      <c r="K151" s="31"/>
      <c r="L151" s="30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spans="3:28" ht="14.4" customHeight="1">
      <c r="C152" s="3" t="s">
        <v>25</v>
      </c>
      <c r="J152" s="54"/>
      <c r="K152" s="31"/>
      <c r="L152" s="30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 spans="3:28" ht="14.4" customHeight="1">
      <c r="C153" t="s">
        <v>64</v>
      </c>
      <c r="E153" s="15">
        <f t="shared" ref="E153:H155" si="18">IFERROR(E$138/E108, "NM")</f>
        <v>2.3683739598629465</v>
      </c>
      <c r="F153" s="15">
        <f t="shared" si="18"/>
        <v>3.1255873758036232</v>
      </c>
      <c r="G153" s="15">
        <f t="shared" si="18"/>
        <v>8.3609207708779447</v>
      </c>
      <c r="H153" s="15">
        <f t="shared" si="18"/>
        <v>4.2047186274509807</v>
      </c>
      <c r="I153" s="15"/>
      <c r="J153" s="54"/>
      <c r="K153" s="31"/>
      <c r="L153" s="30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 spans="3:28" ht="14.4" customHeight="1">
      <c r="C154" t="s">
        <v>65</v>
      </c>
      <c r="E154" s="15">
        <f t="shared" si="18"/>
        <v>13.500524553571429</v>
      </c>
      <c r="F154" s="15">
        <f t="shared" si="18"/>
        <v>12.598068315665488</v>
      </c>
      <c r="G154" s="15">
        <f t="shared" si="18"/>
        <v>28.976252319109463</v>
      </c>
      <c r="H154" s="15">
        <f t="shared" si="18"/>
        <v>28.12336393442623</v>
      </c>
      <c r="I154" s="15"/>
      <c r="J154" s="54"/>
      <c r="K154" s="31"/>
      <c r="L154" s="30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 spans="3:28" ht="14.4" customHeight="1">
      <c r="C155" t="s">
        <v>66</v>
      </c>
      <c r="E155" s="15">
        <f t="shared" si="18"/>
        <v>16.193400267737616</v>
      </c>
      <c r="F155" s="15">
        <f t="shared" si="18"/>
        <v>16.977396825396823</v>
      </c>
      <c r="G155" s="15">
        <f t="shared" si="18"/>
        <v>31.111952191235059</v>
      </c>
      <c r="H155" s="15">
        <f t="shared" si="18"/>
        <v>32.990869230769235</v>
      </c>
      <c r="I155" s="15"/>
      <c r="J155" s="54"/>
      <c r="K155" s="31"/>
      <c r="L155" s="30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 spans="3:28" ht="14.4" customHeight="1">
      <c r="C156" t="s">
        <v>67</v>
      </c>
      <c r="E156" s="15">
        <f>IFERROR(E133/E111, "NM")</f>
        <v>15.092227979274609</v>
      </c>
      <c r="F156" s="15">
        <f>IFERROR(F133/F111, "NM")</f>
        <v>11.112903225806452</v>
      </c>
      <c r="G156" s="15">
        <f>IFERROR(G133/G111, "NM")</f>
        <v>39.951219512195131</v>
      </c>
      <c r="H156" s="15">
        <f>IFERROR(H133/H111, "NM")</f>
        <v>28.266666666666666</v>
      </c>
      <c r="I156" s="15"/>
      <c r="J156" s="54"/>
      <c r="K156" s="31"/>
      <c r="L156" s="30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 spans="3:28" ht="14.4" customHeight="1">
      <c r="J157" s="54"/>
      <c r="K157" s="31"/>
      <c r="L157" s="30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 spans="3:28" ht="14.4" customHeight="1">
      <c r="C158" t="s">
        <v>68</v>
      </c>
      <c r="E158" s="15">
        <f>IFERROR(E151/(E116*100), "NM")</f>
        <v>2.9201002506265663</v>
      </c>
      <c r="F158" s="15">
        <f>IFERROR(F151/(F116*100), "NM")</f>
        <v>2.9164021164021161</v>
      </c>
      <c r="G158" s="15">
        <f>IFERROR(G151/(G116*100), "NM")</f>
        <v>2.6351351351351351</v>
      </c>
      <c r="H158" s="15">
        <f>IFERROR(H151/(H116*100), "NM")</f>
        <v>1.324045159740572</v>
      </c>
      <c r="I158" s="15"/>
      <c r="J158" s="35"/>
      <c r="K158" s="31"/>
      <c r="L158" s="30"/>
      <c r="M158" s="25"/>
      <c r="N158" s="35"/>
      <c r="O158" s="34"/>
      <c r="P158" s="34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 spans="3:28" ht="14.4" customHeight="1">
      <c r="J159" s="35"/>
      <c r="K159" s="31"/>
      <c r="L159" s="30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 spans="3:28" ht="14.4" customHeight="1">
      <c r="J160" s="35"/>
      <c r="K160" s="31"/>
      <c r="L160" s="30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 spans="1:44">
      <c r="J161" s="35"/>
      <c r="L161" s="30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 spans="1:44">
      <c r="J162" s="35"/>
      <c r="L162" s="30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 spans="1:44">
      <c r="J163" s="43"/>
      <c r="L163" s="30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</row>
    <row r="164" spans="1:44" ht="6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0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</row>
    <row r="165" spans="1:4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42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 spans="1:4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42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 spans="1:44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42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 spans="1:44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42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 spans="1:44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42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 spans="1:44">
      <c r="A170" s="25"/>
      <c r="B170" s="25"/>
      <c r="C170" s="25"/>
      <c r="D170" s="25"/>
      <c r="E170" s="26"/>
      <c r="F170" s="25"/>
      <c r="G170" s="25"/>
      <c r="H170" s="25"/>
      <c r="I170" s="25"/>
      <c r="J170" s="25"/>
      <c r="K170" s="25"/>
      <c r="L170" s="42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 spans="1:44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42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 spans="1:44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 spans="1:44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 spans="1:4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 spans="1:44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 spans="1:44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 spans="1:28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 spans="1:2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 spans="1:28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spans="1:28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 spans="1:28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 spans="1:28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 spans="1:28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 spans="1:28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 spans="1:28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 spans="1:28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 spans="1:28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 spans="1:2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 spans="1:28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 spans="1:28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 spans="1:28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 spans="1:28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spans="1:28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 spans="1:28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 spans="1:28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 spans="1:28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 spans="1:28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 spans="1:2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 spans="1:28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 spans="1:28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 spans="1:28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 spans="1:28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 spans="1:28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 spans="1:28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 spans="1:28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 spans="1:28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 spans="1:28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 spans="1:2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 spans="1:28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 spans="1:28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 spans="1:28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 spans="1:28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 spans="1:28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 spans="1:28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 spans="1:28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 spans="1:28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 spans="1:28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 spans="1:2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 spans="1:28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 spans="1:28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 spans="1:28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 spans="1:28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 spans="1:28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 spans="1:28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spans="1:28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 spans="1:28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 spans="1:28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 spans="1: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 spans="1:28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 spans="1:28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 spans="1:28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 spans="1:28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 spans="1:28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 spans="1:28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spans="1:28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 spans="1:28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spans="1:28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 spans="1:2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 spans="1:28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 spans="1:28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 spans="1:28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 spans="1:28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 spans="1:28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 spans="1:28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 spans="1:28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 spans="1:28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spans="1:28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 spans="1:2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 spans="1:28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 spans="1:28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 spans="1:28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 spans="1:28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 spans="1:28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 spans="1:28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 spans="1:28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 spans="1:28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 spans="1:28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 spans="1:2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 spans="1:28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 spans="1:28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 spans="1:28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 spans="1:28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 spans="1:28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 spans="1:28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</row>
    <row r="265" spans="1:28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</row>
    <row r="266" spans="1:28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</row>
    <row r="267" spans="1:28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</row>
    <row r="268" spans="1:2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</row>
    <row r="269" spans="1:28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</row>
    <row r="270" spans="1:28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</row>
    <row r="271" spans="1:28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</row>
    <row r="272" spans="1:28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</row>
    <row r="273" spans="1:20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</row>
    <row r="274" spans="1:20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</row>
    <row r="275" spans="1:20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</row>
    <row r="276" spans="1:20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</row>
    <row r="277" spans="1:20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</row>
    <row r="278" spans="1:20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</row>
    <row r="279" spans="1:20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</row>
    <row r="280" spans="1:2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</row>
    <row r="281" spans="1:20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</row>
    <row r="282" spans="1:20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</row>
    <row r="283" spans="1:20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</row>
    <row r="284" spans="1:20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</row>
    <row r="285" spans="1:20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</row>
    <row r="286" spans="1:20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</row>
    <row r="287" spans="1:20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</row>
    <row r="288" spans="1:20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</row>
    <row r="289" spans="1:20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M289" s="25"/>
      <c r="N289" s="25"/>
      <c r="O289" s="25"/>
      <c r="P289" s="25"/>
      <c r="Q289" s="25"/>
      <c r="R289" s="25"/>
      <c r="S289" s="25"/>
      <c r="T289" s="25"/>
    </row>
    <row r="290" spans="1:2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M290" s="25"/>
      <c r="N290" s="25"/>
      <c r="O290" s="25"/>
      <c r="P290" s="25"/>
      <c r="Q290" s="25"/>
      <c r="R290" s="25"/>
      <c r="S290" s="25"/>
      <c r="T290" s="25"/>
    </row>
    <row r="291" spans="1:20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M291" s="25"/>
      <c r="N291" s="25"/>
      <c r="O291" s="25"/>
      <c r="P291" s="25"/>
      <c r="Q291" s="25"/>
      <c r="R291" s="25"/>
      <c r="S291" s="25"/>
      <c r="T291" s="25"/>
    </row>
    <row r="292" spans="1:20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M292" s="25"/>
      <c r="N292" s="25"/>
      <c r="O292" s="25"/>
      <c r="P292" s="25"/>
      <c r="Q292" s="25"/>
      <c r="R292" s="25"/>
      <c r="S292" s="25"/>
      <c r="T292" s="25"/>
    </row>
    <row r="293" spans="1:20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M293" s="25"/>
      <c r="N293" s="25"/>
      <c r="O293" s="25"/>
      <c r="P293" s="25"/>
      <c r="Q293" s="25"/>
      <c r="R293" s="25"/>
      <c r="S293" s="25"/>
      <c r="T293" s="25"/>
    </row>
    <row r="294" spans="1:20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M294" s="25"/>
      <c r="N294" s="25"/>
      <c r="O294" s="25"/>
      <c r="P294" s="25"/>
      <c r="Q294" s="25"/>
      <c r="R294" s="25"/>
      <c r="S294" s="25"/>
      <c r="T294" s="25"/>
    </row>
    <row r="295" spans="1:20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M295" s="25"/>
      <c r="N295" s="25"/>
      <c r="O295" s="25"/>
      <c r="P295" s="25"/>
      <c r="Q295" s="25"/>
      <c r="R295" s="25"/>
      <c r="S295" s="25"/>
      <c r="T295" s="25"/>
    </row>
    <row r="296" spans="1:20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M296" s="25"/>
      <c r="N296" s="25"/>
      <c r="O296" s="25"/>
      <c r="P296" s="25"/>
      <c r="Q296" s="25"/>
      <c r="R296" s="25"/>
      <c r="S296" s="25"/>
      <c r="T296" s="25"/>
    </row>
    <row r="297" spans="1:20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M297" s="25"/>
      <c r="N297" s="25"/>
      <c r="O297" s="25"/>
      <c r="P297" s="25"/>
      <c r="Q297" s="25"/>
      <c r="R297" s="25"/>
      <c r="S297" s="25"/>
      <c r="T297" s="25"/>
    </row>
    <row r="298" spans="1:20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M298" s="25"/>
      <c r="N298" s="25"/>
      <c r="O298" s="25"/>
      <c r="P298" s="25"/>
      <c r="Q298" s="25"/>
      <c r="R298" s="25"/>
      <c r="S298" s="25"/>
      <c r="T298" s="25"/>
    </row>
    <row r="299" spans="1:20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M299" s="25"/>
      <c r="N299" s="25"/>
      <c r="O299" s="25"/>
      <c r="P299" s="25"/>
      <c r="Q299" s="25"/>
      <c r="R299" s="25"/>
      <c r="S299" s="25"/>
      <c r="T299" s="25"/>
    </row>
    <row r="300" spans="1:2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M300" s="25"/>
      <c r="N300" s="25"/>
      <c r="O300" s="25"/>
      <c r="P300" s="25"/>
      <c r="Q300" s="25"/>
      <c r="R300" s="25"/>
      <c r="S300" s="25"/>
      <c r="T300" s="25"/>
    </row>
    <row r="301" spans="1:20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M301" s="25"/>
      <c r="N301" s="25"/>
      <c r="O301" s="25"/>
      <c r="P301" s="25"/>
      <c r="Q301" s="25"/>
      <c r="R301" s="25"/>
      <c r="S301" s="25"/>
      <c r="T301" s="25"/>
    </row>
    <row r="302" spans="1:20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M302" s="25"/>
      <c r="N302" s="25"/>
      <c r="O302" s="25"/>
      <c r="P302" s="25"/>
      <c r="Q302" s="25"/>
      <c r="R302" s="25"/>
      <c r="S302" s="25"/>
      <c r="T302" s="25"/>
    </row>
    <row r="303" spans="1:20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M303" s="25"/>
      <c r="N303" s="25"/>
      <c r="O303" s="25"/>
      <c r="P303" s="25"/>
      <c r="Q303" s="25"/>
      <c r="R303" s="25"/>
      <c r="S303" s="25"/>
      <c r="T303" s="25"/>
    </row>
    <row r="304" spans="1:20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M304" s="25"/>
      <c r="N304" s="25"/>
      <c r="O304" s="25"/>
      <c r="P304" s="25"/>
      <c r="Q304" s="25"/>
      <c r="R304" s="25"/>
      <c r="S304" s="25"/>
      <c r="T304" s="25"/>
    </row>
    <row r="305" spans="1:20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M305" s="25"/>
      <c r="N305" s="25"/>
      <c r="O305" s="25"/>
      <c r="P305" s="25"/>
      <c r="Q305" s="25"/>
      <c r="R305" s="25"/>
      <c r="S305" s="25"/>
      <c r="T305" s="25"/>
    </row>
    <row r="306" spans="1:20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M306" s="25"/>
      <c r="N306" s="25"/>
      <c r="O306" s="25"/>
      <c r="P306" s="25"/>
      <c r="Q306" s="25"/>
      <c r="R306" s="25"/>
      <c r="S306" s="25"/>
      <c r="T306" s="25"/>
    </row>
    <row r="307" spans="1:20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M307" s="25"/>
      <c r="N307" s="25"/>
      <c r="O307" s="25"/>
      <c r="P307" s="25"/>
      <c r="Q307" s="25"/>
      <c r="R307" s="25"/>
      <c r="S307" s="25"/>
      <c r="T307" s="25"/>
    </row>
    <row r="308" spans="1:20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M308" s="25"/>
      <c r="N308" s="25"/>
      <c r="O308" s="25"/>
      <c r="P308" s="25"/>
      <c r="Q308" s="25"/>
      <c r="R308" s="25"/>
      <c r="S308" s="25"/>
      <c r="T308" s="25"/>
    </row>
    <row r="309" spans="1:20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M309" s="25"/>
      <c r="N309" s="25"/>
      <c r="O309" s="25"/>
      <c r="P309" s="25"/>
      <c r="Q309" s="25"/>
      <c r="R309" s="25"/>
      <c r="S309" s="25"/>
      <c r="T309" s="25"/>
    </row>
    <row r="310" spans="1:2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M310" s="25"/>
      <c r="N310" s="25"/>
      <c r="O310" s="25"/>
      <c r="P310" s="25"/>
      <c r="Q310" s="25"/>
      <c r="R310" s="25"/>
      <c r="S310" s="25"/>
      <c r="T310" s="25"/>
    </row>
    <row r="311" spans="1:20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M311" s="25"/>
      <c r="N311" s="25"/>
      <c r="O311" s="25"/>
      <c r="P311" s="25"/>
      <c r="Q311" s="25"/>
      <c r="R311" s="25"/>
      <c r="S311" s="25"/>
      <c r="T311" s="25"/>
    </row>
    <row r="312" spans="1:20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M312" s="25"/>
      <c r="N312" s="25"/>
      <c r="O312" s="25"/>
      <c r="P312" s="25"/>
      <c r="Q312" s="25"/>
      <c r="R312" s="25"/>
      <c r="S312" s="25"/>
      <c r="T312" s="25"/>
    </row>
    <row r="313" spans="1:20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M313" s="25"/>
      <c r="N313" s="25"/>
      <c r="O313" s="25"/>
      <c r="P313" s="25"/>
      <c r="Q313" s="25"/>
      <c r="R313" s="25"/>
      <c r="S313" s="25"/>
      <c r="T313" s="25"/>
    </row>
    <row r="314" spans="1:20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M314" s="25"/>
      <c r="N314" s="25"/>
      <c r="O314" s="25"/>
      <c r="P314" s="25"/>
      <c r="Q314" s="25"/>
      <c r="R314" s="25"/>
      <c r="S314" s="25"/>
      <c r="T314" s="25"/>
    </row>
    <row r="315" spans="1:20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M315" s="25"/>
      <c r="N315" s="25"/>
      <c r="O315" s="25"/>
      <c r="P315" s="25"/>
      <c r="Q315" s="25"/>
      <c r="R315" s="25"/>
      <c r="S315" s="25"/>
      <c r="T315" s="25"/>
    </row>
    <row r="316" spans="1:20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M316" s="25"/>
      <c r="N316" s="25"/>
      <c r="O316" s="25"/>
      <c r="P316" s="25"/>
      <c r="Q316" s="25"/>
      <c r="R316" s="25"/>
      <c r="S316" s="25"/>
      <c r="T316" s="25"/>
    </row>
    <row r="317" spans="1:20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M317" s="25"/>
      <c r="N317" s="25"/>
      <c r="O317" s="25"/>
      <c r="P317" s="25"/>
      <c r="Q317" s="25"/>
      <c r="R317" s="25"/>
      <c r="S317" s="25"/>
      <c r="T317" s="25"/>
    </row>
    <row r="318" spans="1:20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M318" s="25"/>
      <c r="N318" s="25"/>
      <c r="O318" s="25"/>
      <c r="P318" s="25"/>
      <c r="Q318" s="25"/>
      <c r="R318" s="25"/>
      <c r="S318" s="25"/>
      <c r="T318" s="25"/>
    </row>
    <row r="319" spans="1:20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M319" s="25"/>
      <c r="N319" s="25"/>
      <c r="O319" s="25"/>
      <c r="P319" s="25"/>
      <c r="Q319" s="25"/>
      <c r="R319" s="25"/>
      <c r="S319" s="25"/>
      <c r="T319" s="25"/>
    </row>
    <row r="320" spans="1: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M320" s="25"/>
      <c r="N320" s="25"/>
      <c r="O320" s="25"/>
      <c r="P320" s="25"/>
      <c r="Q320" s="25"/>
      <c r="R320" s="25"/>
      <c r="S320" s="25"/>
      <c r="T320" s="25"/>
    </row>
    <row r="321" spans="1:1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M321" s="25"/>
      <c r="N321" s="25"/>
      <c r="O321" s="25"/>
    </row>
    <row r="322" spans="1:1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M322" s="25"/>
      <c r="N322" s="25"/>
      <c r="O322" s="25"/>
    </row>
    <row r="323" spans="1:1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M323" s="25"/>
      <c r="N323" s="25"/>
      <c r="O323" s="25"/>
    </row>
    <row r="324" spans="1:1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M324" s="25"/>
      <c r="N324" s="25"/>
      <c r="O324" s="25"/>
    </row>
    <row r="325" spans="1:1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M325" s="25"/>
      <c r="N325" s="25"/>
      <c r="O325" s="25"/>
    </row>
    <row r="326" spans="1:1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M326" s="25"/>
      <c r="N326" s="25"/>
      <c r="O326" s="25"/>
    </row>
    <row r="327" spans="1:1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M327" s="25"/>
      <c r="N327" s="25"/>
      <c r="O327" s="25"/>
    </row>
    <row r="328" spans="1:1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M328" s="25"/>
      <c r="N328" s="25"/>
      <c r="O328" s="25"/>
    </row>
    <row r="329" spans="1:1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M329" s="25"/>
      <c r="N329" s="25"/>
      <c r="O329" s="25"/>
    </row>
    <row r="330" spans="1:1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M330" s="25"/>
      <c r="N330" s="25"/>
      <c r="O330" s="25"/>
    </row>
    <row r="331" spans="1:1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M331" s="25"/>
      <c r="N331" s="25"/>
      <c r="O331" s="25"/>
    </row>
    <row r="332" spans="1:1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M332" s="25"/>
      <c r="N332" s="25"/>
      <c r="O332" s="25"/>
    </row>
    <row r="333" spans="1:1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M333" s="25"/>
      <c r="N333" s="25"/>
      <c r="O333" s="25"/>
    </row>
    <row r="334" spans="1:1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M334" s="25"/>
      <c r="N334" s="25"/>
      <c r="O334" s="25"/>
    </row>
    <row r="335" spans="1:1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M335" s="25"/>
      <c r="N335" s="25"/>
      <c r="O335" s="25"/>
    </row>
    <row r="336" spans="1:1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M336" s="25"/>
      <c r="N336" s="25"/>
      <c r="O336" s="25"/>
    </row>
    <row r="337" spans="1:1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M337" s="25"/>
      <c r="N337" s="25"/>
      <c r="O337" s="25"/>
    </row>
    <row r="338" spans="1:1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M338" s="25"/>
      <c r="N338" s="25"/>
      <c r="O338" s="25"/>
    </row>
    <row r="339" spans="1:1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M339" s="25"/>
      <c r="N339" s="25"/>
      <c r="O339" s="25"/>
    </row>
    <row r="340" spans="1:1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M340" s="25"/>
      <c r="N340" s="25"/>
      <c r="O340" s="25"/>
    </row>
    <row r="341" spans="1:1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M341" s="25"/>
      <c r="N341" s="25"/>
      <c r="O341" s="25"/>
    </row>
    <row r="342" spans="1:1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M342" s="25"/>
      <c r="N342" s="25"/>
      <c r="O342" s="25"/>
    </row>
    <row r="343" spans="1:1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M343" s="25"/>
      <c r="N343" s="25"/>
      <c r="O343" s="25"/>
    </row>
    <row r="344" spans="1:1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M344" s="25"/>
      <c r="N344" s="25"/>
      <c r="O344" s="25"/>
    </row>
    <row r="345" spans="1:1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M345" s="25"/>
      <c r="N345" s="25"/>
      <c r="O345" s="25"/>
    </row>
    <row r="346" spans="1:1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M346" s="25"/>
      <c r="N346" s="25"/>
      <c r="O346" s="25"/>
    </row>
    <row r="347" spans="1:1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M347" s="25"/>
      <c r="N347" s="25"/>
      <c r="O347" s="25"/>
    </row>
    <row r="348" spans="1:1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M348" s="25"/>
      <c r="N348" s="25"/>
      <c r="O348" s="25"/>
    </row>
    <row r="349" spans="1:1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M349" s="25"/>
      <c r="N349" s="25"/>
      <c r="O349" s="25"/>
    </row>
    <row r="350" spans="1:1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M350" s="25"/>
      <c r="N350" s="25"/>
      <c r="O350" s="25"/>
    </row>
    <row r="351" spans="1:1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M351" s="25"/>
      <c r="N351" s="25"/>
      <c r="O351" s="25"/>
    </row>
    <row r="352" spans="1:1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M352" s="25"/>
      <c r="N352" s="25"/>
      <c r="O352" s="25"/>
    </row>
    <row r="353" spans="1:1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M353" s="25"/>
      <c r="N353" s="25"/>
      <c r="O353" s="25"/>
    </row>
    <row r="354" spans="1:1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M354" s="25"/>
      <c r="N354" s="25"/>
      <c r="O354" s="25"/>
    </row>
    <row r="355" spans="1:1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M355" s="25"/>
      <c r="N355" s="25"/>
      <c r="O355" s="25"/>
    </row>
    <row r="356" spans="1:1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M356" s="25"/>
      <c r="N356" s="25"/>
      <c r="O356" s="25"/>
    </row>
    <row r="357" spans="1:1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M357" s="25"/>
      <c r="N357" s="25"/>
      <c r="O357" s="25"/>
    </row>
    <row r="358" spans="1:1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M358" s="25"/>
      <c r="N358" s="25"/>
      <c r="O358" s="25"/>
    </row>
    <row r="359" spans="1:1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M359" s="25"/>
      <c r="N359" s="25"/>
      <c r="O359" s="25"/>
    </row>
    <row r="360" spans="1:1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M360" s="25"/>
      <c r="N360" s="25"/>
      <c r="O360" s="25"/>
    </row>
    <row r="361" spans="1:1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M361" s="25"/>
      <c r="N361" s="25"/>
      <c r="O361" s="25"/>
    </row>
    <row r="362" spans="1:1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M362" s="25"/>
      <c r="N362" s="25"/>
      <c r="O362" s="25"/>
    </row>
    <row r="363" spans="1:1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M363" s="25"/>
      <c r="N363" s="25"/>
      <c r="O363" s="25"/>
    </row>
    <row r="364" spans="1:1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M364" s="25"/>
      <c r="N364" s="25"/>
      <c r="O364" s="25"/>
    </row>
    <row r="365" spans="1:1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M365" s="25"/>
      <c r="N365" s="25"/>
      <c r="O365" s="25"/>
    </row>
    <row r="366" spans="1:1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M366" s="25"/>
      <c r="N366" s="25"/>
      <c r="O366" s="25"/>
    </row>
    <row r="367" spans="1:1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M367" s="25"/>
      <c r="N367" s="25"/>
      <c r="O367" s="25"/>
    </row>
    <row r="368" spans="1:1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M368" s="25"/>
      <c r="N368" s="25"/>
      <c r="O368" s="25"/>
    </row>
    <row r="369" spans="1:1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M369" s="25"/>
      <c r="N369" s="25"/>
      <c r="O369" s="25"/>
    </row>
    <row r="370" spans="1:1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M370" s="25"/>
      <c r="N370" s="25"/>
      <c r="O370" s="25"/>
    </row>
    <row r="371" spans="1:1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M371" s="25"/>
      <c r="N371" s="25"/>
      <c r="O371" s="25"/>
    </row>
    <row r="372" spans="1:1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M372" s="25"/>
      <c r="N372" s="25"/>
      <c r="O372" s="25"/>
    </row>
    <row r="373" spans="1:1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M373" s="25"/>
      <c r="N373" s="25"/>
      <c r="O373" s="25"/>
    </row>
    <row r="374" spans="1:1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M374" s="25"/>
      <c r="N374" s="25"/>
      <c r="O374" s="25"/>
    </row>
    <row r="375" spans="1:15">
      <c r="C375" s="25"/>
      <c r="D375" s="25"/>
      <c r="E375" s="25"/>
      <c r="F375" s="25"/>
      <c r="G375" s="25"/>
      <c r="H375" s="25"/>
      <c r="I375" s="25"/>
      <c r="J375" s="25"/>
      <c r="M375" s="25"/>
      <c r="N375" s="25"/>
      <c r="O375" s="25"/>
    </row>
    <row r="376" spans="1:15">
      <c r="C376" s="25"/>
      <c r="D376" s="25"/>
      <c r="E376" s="25"/>
      <c r="F376" s="25"/>
      <c r="G376" s="25"/>
      <c r="H376" s="25"/>
      <c r="I376" s="25"/>
      <c r="J376" s="25"/>
      <c r="M376" s="25"/>
      <c r="N376" s="25"/>
      <c r="O376" s="25"/>
    </row>
    <row r="377" spans="1:15">
      <c r="C377" s="25"/>
      <c r="D377" s="25"/>
      <c r="E377" s="25"/>
      <c r="F377" s="25"/>
      <c r="G377" s="25"/>
      <c r="H377" s="25"/>
      <c r="I377" s="25"/>
      <c r="J377" s="25"/>
      <c r="M377" s="25"/>
      <c r="N377" s="25"/>
      <c r="O377" s="25"/>
    </row>
    <row r="378" spans="1:15">
      <c r="C378" s="25"/>
      <c r="D378" s="25"/>
      <c r="E378" s="25"/>
      <c r="F378" s="25"/>
      <c r="G378" s="25"/>
      <c r="H378" s="25"/>
      <c r="I378" s="25"/>
      <c r="J378" s="25"/>
      <c r="M378" s="25"/>
      <c r="N378" s="25"/>
      <c r="O378" s="25"/>
    </row>
    <row r="379" spans="1:15">
      <c r="C379" s="25"/>
      <c r="D379" s="25"/>
      <c r="E379" s="25"/>
      <c r="F379" s="25"/>
      <c r="G379" s="25"/>
      <c r="H379" s="25"/>
      <c r="I379" s="25"/>
      <c r="J379" s="25"/>
      <c r="M379" s="25"/>
      <c r="N379" s="25"/>
      <c r="O379" s="25"/>
    </row>
    <row r="380" spans="1:15">
      <c r="C380" s="25"/>
      <c r="D380" s="25"/>
      <c r="E380" s="25"/>
      <c r="F380" s="25"/>
      <c r="G380" s="25"/>
      <c r="H380" s="25"/>
      <c r="I380" s="25"/>
      <c r="J380" s="25"/>
      <c r="M380" s="25"/>
      <c r="N380" s="25"/>
      <c r="O380" s="25"/>
    </row>
    <row r="381" spans="1:15">
      <c r="C381" s="25"/>
      <c r="D381" s="25"/>
      <c r="E381" s="25"/>
      <c r="F381" s="25"/>
      <c r="G381" s="25"/>
      <c r="H381" s="25"/>
      <c r="I381" s="25"/>
      <c r="J381" s="25"/>
      <c r="M381" s="25"/>
      <c r="N381" s="25"/>
      <c r="O381" s="25"/>
    </row>
    <row r="382" spans="1:15">
      <c r="C382" s="25"/>
      <c r="D382" s="25"/>
      <c r="E382" s="25"/>
      <c r="F382" s="25"/>
      <c r="G382" s="25"/>
      <c r="H382" s="25"/>
      <c r="I382" s="25"/>
      <c r="J382" s="25"/>
      <c r="M382" s="25"/>
      <c r="N382" s="25"/>
      <c r="O382" s="25"/>
    </row>
    <row r="383" spans="1:15">
      <c r="C383" s="25"/>
      <c r="D383" s="25"/>
      <c r="E383" s="25"/>
      <c r="F383" s="25"/>
      <c r="G383" s="25"/>
      <c r="H383" s="25"/>
      <c r="I383" s="25"/>
      <c r="J383" s="25"/>
      <c r="M383" s="25"/>
      <c r="N383" s="25"/>
      <c r="O383" s="25"/>
    </row>
    <row r="384" spans="1:15">
      <c r="C384" s="25"/>
      <c r="D384" s="25"/>
      <c r="E384" s="25"/>
      <c r="F384" s="25"/>
      <c r="G384" s="25"/>
      <c r="H384" s="25"/>
      <c r="I384" s="25"/>
      <c r="J384" s="25"/>
      <c r="M384" s="25"/>
      <c r="N384" s="25"/>
      <c r="O384" s="25"/>
    </row>
    <row r="385" spans="3:15">
      <c r="C385" s="25"/>
      <c r="D385" s="25"/>
      <c r="E385" s="25"/>
      <c r="F385" s="25"/>
      <c r="G385" s="25"/>
      <c r="H385" s="25"/>
      <c r="I385" s="25"/>
      <c r="J385" s="25"/>
      <c r="M385" s="25"/>
      <c r="N385" s="25"/>
      <c r="O385" s="25"/>
    </row>
    <row r="386" spans="3:15">
      <c r="C386" s="25"/>
      <c r="D386" s="25"/>
      <c r="E386" s="25"/>
      <c r="F386" s="25"/>
      <c r="G386" s="25"/>
      <c r="H386" s="25"/>
      <c r="I386" s="25"/>
      <c r="J386" s="25"/>
      <c r="M386" s="25"/>
      <c r="N386" s="25"/>
      <c r="O386" s="25"/>
    </row>
    <row r="387" spans="3:15">
      <c r="C387" s="25"/>
      <c r="D387" s="25"/>
      <c r="E387" s="25"/>
      <c r="F387" s="25"/>
      <c r="G387" s="25"/>
      <c r="H387" s="25"/>
      <c r="I387" s="25"/>
      <c r="J387" s="25"/>
      <c r="M387" s="25"/>
      <c r="N387" s="25"/>
      <c r="O387" s="25"/>
    </row>
    <row r="388" spans="3:15">
      <c r="C388" s="25"/>
      <c r="D388" s="25"/>
      <c r="E388" s="25"/>
      <c r="F388" s="25"/>
      <c r="G388" s="25"/>
      <c r="H388" s="25"/>
      <c r="I388" s="25"/>
      <c r="J388" s="25"/>
      <c r="M388" s="25"/>
      <c r="N388" s="25"/>
      <c r="O388" s="25"/>
    </row>
    <row r="389" spans="3:15">
      <c r="C389" s="25"/>
      <c r="D389" s="25"/>
      <c r="E389" s="25"/>
      <c r="F389" s="25"/>
      <c r="G389" s="25"/>
      <c r="H389" s="25"/>
      <c r="I389" s="25"/>
      <c r="J389" s="25"/>
      <c r="M389" s="25"/>
      <c r="N389" s="25"/>
      <c r="O389" s="25"/>
    </row>
    <row r="390" spans="3:15">
      <c r="C390" s="25"/>
      <c r="D390" s="25"/>
      <c r="E390" s="25"/>
      <c r="F390" s="25"/>
      <c r="G390" s="25"/>
      <c r="H390" s="25"/>
      <c r="I390" s="25"/>
      <c r="J390" s="25"/>
      <c r="M390" s="25"/>
      <c r="N390" s="25"/>
      <c r="O390" s="25"/>
    </row>
    <row r="391" spans="3:15">
      <c r="C391" s="25"/>
      <c r="D391" s="25"/>
      <c r="E391" s="25"/>
      <c r="F391" s="25"/>
      <c r="G391" s="25"/>
      <c r="H391" s="25"/>
      <c r="I391" s="25"/>
      <c r="J391" s="25"/>
      <c r="M391" s="25"/>
      <c r="N391" s="25"/>
      <c r="O391" s="25"/>
    </row>
    <row r="392" spans="3:15">
      <c r="C392" s="25"/>
      <c r="D392" s="25"/>
      <c r="E392" s="25"/>
      <c r="F392" s="25"/>
      <c r="G392" s="25"/>
      <c r="H392" s="25"/>
      <c r="I392" s="25"/>
      <c r="J392" s="25"/>
      <c r="M392" s="25"/>
      <c r="N392" s="25"/>
      <c r="O392" s="25"/>
    </row>
    <row r="393" spans="3:15">
      <c r="C393" s="25"/>
      <c r="D393" s="25"/>
      <c r="E393" s="25"/>
      <c r="F393" s="25"/>
      <c r="G393" s="25"/>
      <c r="H393" s="25"/>
      <c r="I393" s="25"/>
      <c r="J393" s="25"/>
      <c r="M393" s="25"/>
      <c r="N393" s="25"/>
      <c r="O393" s="25"/>
    </row>
    <row r="394" spans="3:15">
      <c r="C394" s="25"/>
      <c r="D394" s="25"/>
      <c r="E394" s="25"/>
      <c r="F394" s="25"/>
      <c r="G394" s="25"/>
      <c r="H394" s="25"/>
      <c r="I394" s="25"/>
      <c r="J394" s="25"/>
      <c r="M394" s="25"/>
      <c r="N394" s="25"/>
      <c r="O394" s="25"/>
    </row>
    <row r="395" spans="3:15">
      <c r="C395" s="25"/>
      <c r="D395" s="25"/>
      <c r="E395" s="25"/>
      <c r="F395" s="25"/>
      <c r="G395" s="25"/>
      <c r="H395" s="25"/>
      <c r="I395" s="25"/>
      <c r="J395" s="25"/>
      <c r="M395" s="25"/>
      <c r="N395" s="25"/>
      <c r="O395" s="25"/>
    </row>
    <row r="396" spans="3:15">
      <c r="C396" s="25"/>
      <c r="D396" s="25"/>
      <c r="E396" s="25"/>
      <c r="F396" s="25"/>
      <c r="G396" s="25"/>
      <c r="H396" s="25"/>
      <c r="I396" s="25"/>
      <c r="J396" s="25"/>
      <c r="M396" s="25"/>
      <c r="N396" s="25"/>
      <c r="O396" s="25"/>
    </row>
    <row r="397" spans="3:15">
      <c r="C397" s="25"/>
      <c r="D397" s="25"/>
      <c r="E397" s="25"/>
      <c r="F397" s="25"/>
      <c r="G397" s="25"/>
      <c r="H397" s="25"/>
      <c r="I397" s="25"/>
      <c r="J397" s="25"/>
      <c r="M397" s="25"/>
      <c r="N397" s="25"/>
      <c r="O397" s="25"/>
    </row>
    <row r="398" spans="3:15">
      <c r="C398" s="25"/>
      <c r="D398" s="25"/>
      <c r="E398" s="25"/>
      <c r="F398" s="25"/>
      <c r="G398" s="25"/>
      <c r="H398" s="25"/>
      <c r="I398" s="25"/>
      <c r="J398" s="25"/>
      <c r="M398" s="25"/>
      <c r="N398" s="25"/>
      <c r="O398" s="25"/>
    </row>
    <row r="399" spans="3:15">
      <c r="C399" s="25"/>
      <c r="D399" s="25"/>
      <c r="E399" s="25"/>
      <c r="F399" s="25"/>
      <c r="G399" s="25"/>
      <c r="H399" s="25"/>
      <c r="I399" s="25"/>
      <c r="J399" s="25"/>
      <c r="M399" s="25"/>
      <c r="N399" s="25"/>
      <c r="O399" s="25"/>
    </row>
    <row r="400" spans="3:15">
      <c r="C400" s="25"/>
      <c r="D400" s="25"/>
      <c r="E400" s="25"/>
      <c r="F400" s="25"/>
      <c r="G400" s="25"/>
      <c r="H400" s="25"/>
      <c r="I400" s="25"/>
      <c r="J400" s="25"/>
      <c r="M400" s="25"/>
      <c r="N400" s="25"/>
      <c r="O400" s="25"/>
    </row>
    <row r="401" spans="3:15">
      <c r="C401" s="25"/>
      <c r="D401" s="25"/>
      <c r="E401" s="25"/>
      <c r="F401" s="25"/>
      <c r="G401" s="25"/>
      <c r="H401" s="25"/>
      <c r="I401" s="25"/>
      <c r="J401" s="25"/>
      <c r="M401" s="25"/>
      <c r="N401" s="25"/>
      <c r="O401" s="25"/>
    </row>
    <row r="402" spans="3:15">
      <c r="C402" s="25"/>
      <c r="D402" s="25"/>
      <c r="E402" s="25"/>
      <c r="F402" s="25"/>
      <c r="G402" s="25"/>
      <c r="H402" s="25"/>
      <c r="I402" s="25"/>
      <c r="J402" s="25"/>
      <c r="M402" s="25"/>
      <c r="N402" s="25"/>
      <c r="O402" s="25"/>
    </row>
    <row r="403" spans="3:15">
      <c r="C403" s="25"/>
      <c r="D403" s="25"/>
      <c r="E403" s="25"/>
      <c r="F403" s="25"/>
      <c r="G403" s="25"/>
      <c r="H403" s="25"/>
      <c r="I403" s="25"/>
      <c r="J403" s="25"/>
      <c r="M403" s="25"/>
      <c r="N403" s="25"/>
      <c r="O403" s="25"/>
    </row>
    <row r="404" spans="3:15">
      <c r="C404" s="25"/>
      <c r="D404" s="25"/>
      <c r="E404" s="25"/>
      <c r="F404" s="25"/>
      <c r="G404" s="25"/>
      <c r="H404" s="25"/>
      <c r="I404" s="25"/>
      <c r="J404" s="25"/>
      <c r="M404" s="25"/>
      <c r="N404" s="25"/>
      <c r="O404" s="25"/>
    </row>
    <row r="405" spans="3:15">
      <c r="C405" s="25"/>
      <c r="D405" s="25"/>
      <c r="E405" s="25"/>
      <c r="F405" s="25"/>
      <c r="G405" s="25"/>
      <c r="H405" s="25"/>
      <c r="I405" s="25"/>
      <c r="J405" s="25"/>
      <c r="M405" s="25"/>
      <c r="N405" s="25"/>
      <c r="O405" s="25"/>
    </row>
    <row r="406" spans="3:15">
      <c r="C406" s="25"/>
      <c r="D406" s="25"/>
      <c r="E406" s="25"/>
      <c r="F406" s="25"/>
      <c r="G406" s="25"/>
      <c r="H406" s="25"/>
      <c r="I406" s="25"/>
      <c r="J406" s="25"/>
      <c r="M406" s="25"/>
      <c r="N406" s="25"/>
      <c r="O406" s="25"/>
    </row>
    <row r="407" spans="3:15">
      <c r="C407" s="25"/>
      <c r="D407" s="25"/>
      <c r="E407" s="25"/>
      <c r="F407" s="25"/>
      <c r="G407" s="25"/>
      <c r="H407" s="25"/>
      <c r="I407" s="25"/>
      <c r="J407" s="25"/>
      <c r="M407" s="25"/>
      <c r="N407" s="25"/>
      <c r="O407" s="25"/>
    </row>
    <row r="408" spans="3:15">
      <c r="C408" s="25"/>
      <c r="D408" s="25"/>
      <c r="E408" s="25"/>
      <c r="F408" s="25"/>
      <c r="G408" s="25"/>
      <c r="H408" s="25"/>
      <c r="I408" s="25"/>
      <c r="J408" s="25"/>
      <c r="M408" s="25"/>
      <c r="N408" s="25"/>
      <c r="O408" s="25"/>
    </row>
    <row r="409" spans="3:15">
      <c r="C409" s="25"/>
      <c r="D409" s="25"/>
      <c r="E409" s="25"/>
      <c r="F409" s="25"/>
      <c r="G409" s="25"/>
      <c r="H409" s="25"/>
      <c r="I409" s="25"/>
      <c r="J409" s="25"/>
      <c r="M409" s="25"/>
      <c r="N409" s="25"/>
      <c r="O409" s="25"/>
    </row>
    <row r="410" spans="3:15">
      <c r="C410" s="25"/>
      <c r="D410" s="25"/>
      <c r="E410" s="25"/>
      <c r="F410" s="25"/>
      <c r="G410" s="25"/>
      <c r="H410" s="25"/>
      <c r="I410" s="25"/>
      <c r="J410" s="25"/>
      <c r="M410" s="25"/>
      <c r="N410" s="25"/>
      <c r="O410" s="25"/>
    </row>
    <row r="411" spans="3:15">
      <c r="C411" s="25"/>
      <c r="D411" s="25"/>
      <c r="E411" s="25"/>
      <c r="F411" s="25"/>
      <c r="G411" s="25"/>
      <c r="H411" s="25"/>
      <c r="I411" s="25"/>
      <c r="J411" s="25"/>
      <c r="M411" s="25"/>
      <c r="N411" s="25"/>
      <c r="O411" s="25"/>
    </row>
    <row r="412" spans="3:15">
      <c r="C412" s="25"/>
      <c r="D412" s="25"/>
      <c r="E412" s="25"/>
      <c r="F412" s="25"/>
      <c r="G412" s="25"/>
      <c r="H412" s="25"/>
      <c r="I412" s="25"/>
      <c r="J412" s="25"/>
      <c r="M412" s="25"/>
      <c r="N412" s="25"/>
      <c r="O412" s="25"/>
    </row>
    <row r="413" spans="3:15">
      <c r="C413" s="25"/>
      <c r="D413" s="25"/>
      <c r="E413" s="25"/>
      <c r="F413" s="25"/>
      <c r="G413" s="25"/>
      <c r="H413" s="25"/>
      <c r="I413" s="25"/>
      <c r="J413" s="25"/>
      <c r="M413" s="25"/>
      <c r="N413" s="25"/>
      <c r="O413" s="25"/>
    </row>
    <row r="414" spans="3:15">
      <c r="C414" s="25"/>
      <c r="D414" s="25"/>
      <c r="E414" s="25"/>
      <c r="F414" s="25"/>
      <c r="G414" s="25"/>
      <c r="H414" s="25"/>
      <c r="I414" s="25"/>
      <c r="J414" s="25"/>
      <c r="M414" s="25"/>
      <c r="N414" s="25"/>
      <c r="O414" s="25"/>
    </row>
    <row r="415" spans="3:15">
      <c r="C415" s="25"/>
      <c r="D415" s="25"/>
      <c r="E415" s="25"/>
      <c r="F415" s="25"/>
      <c r="G415" s="25"/>
      <c r="H415" s="25"/>
      <c r="I415" s="25"/>
      <c r="J415" s="25"/>
      <c r="M415" s="25"/>
      <c r="N415" s="25"/>
      <c r="O415" s="25"/>
    </row>
    <row r="416" spans="3:15">
      <c r="C416" s="25"/>
      <c r="D416" s="25"/>
      <c r="E416" s="25"/>
      <c r="F416" s="25"/>
      <c r="G416" s="25"/>
      <c r="H416" s="25"/>
      <c r="I416" s="25"/>
      <c r="J416" s="25"/>
      <c r="M416" s="25"/>
      <c r="N416" s="25"/>
      <c r="O416" s="25"/>
    </row>
    <row r="417" spans="3:15">
      <c r="C417" s="25"/>
      <c r="D417" s="25"/>
      <c r="E417" s="25"/>
      <c r="F417" s="25"/>
      <c r="G417" s="25"/>
      <c r="H417" s="25"/>
      <c r="I417" s="25"/>
      <c r="J417" s="25"/>
      <c r="M417" s="25"/>
      <c r="N417" s="25"/>
      <c r="O417" s="25"/>
    </row>
    <row r="418" spans="3:15">
      <c r="C418" s="25"/>
      <c r="D418" s="25"/>
      <c r="E418" s="25"/>
      <c r="F418" s="25"/>
      <c r="G418" s="25"/>
      <c r="H418" s="25"/>
      <c r="I418" s="25"/>
      <c r="J418" s="25"/>
      <c r="M418" s="25"/>
      <c r="N418" s="25"/>
      <c r="O418" s="25"/>
    </row>
    <row r="419" spans="3:15">
      <c r="C419" s="25"/>
      <c r="D419" s="25"/>
      <c r="E419" s="25"/>
      <c r="F419" s="25"/>
      <c r="G419" s="25"/>
      <c r="H419" s="25"/>
      <c r="I419" s="25"/>
      <c r="J419" s="25"/>
      <c r="M419" s="25"/>
      <c r="N419" s="25"/>
      <c r="O419" s="25"/>
    </row>
    <row r="420" spans="3:15">
      <c r="C420" s="25"/>
      <c r="D420" s="25"/>
      <c r="E420" s="25"/>
      <c r="F420" s="25"/>
      <c r="G420" s="25"/>
      <c r="H420" s="25"/>
      <c r="I420" s="25"/>
      <c r="J420" s="25"/>
      <c r="M420" s="25"/>
      <c r="N420" s="25"/>
      <c r="O420" s="25"/>
    </row>
    <row r="421" spans="3:15">
      <c r="C421" s="25"/>
      <c r="D421" s="25"/>
      <c r="E421" s="25"/>
      <c r="F421" s="25"/>
      <c r="G421" s="25"/>
      <c r="H421" s="25"/>
      <c r="I421" s="25"/>
      <c r="J421" s="25"/>
      <c r="M421" s="25"/>
      <c r="N421" s="25"/>
      <c r="O421" s="25"/>
    </row>
    <row r="422" spans="3:15">
      <c r="C422" s="25"/>
      <c r="D422" s="25"/>
      <c r="E422" s="25"/>
      <c r="F422" s="25"/>
      <c r="G422" s="25"/>
      <c r="H422" s="25"/>
      <c r="I422" s="25"/>
      <c r="J422" s="25"/>
      <c r="M422" s="25"/>
      <c r="N422" s="25"/>
      <c r="O422" s="25"/>
    </row>
    <row r="423" spans="3:15">
      <c r="C423" s="25"/>
      <c r="D423" s="25"/>
      <c r="E423" s="25"/>
      <c r="F423" s="25"/>
      <c r="G423" s="25"/>
      <c r="H423" s="25"/>
      <c r="I423" s="25"/>
      <c r="J423" s="25"/>
      <c r="M423" s="25"/>
      <c r="N423" s="25"/>
      <c r="O423" s="25"/>
    </row>
    <row r="424" spans="3:15">
      <c r="C424" s="25"/>
      <c r="D424" s="25"/>
      <c r="E424" s="25"/>
      <c r="F424" s="25"/>
      <c r="G424" s="25"/>
      <c r="H424" s="25"/>
      <c r="I424" s="25"/>
      <c r="J424" s="25"/>
      <c r="M424" s="25"/>
      <c r="N424" s="25"/>
      <c r="O424" s="25"/>
    </row>
    <row r="425" spans="3:15">
      <c r="C425" s="25"/>
      <c r="D425" s="25"/>
      <c r="E425" s="25"/>
      <c r="F425" s="25"/>
      <c r="G425" s="25"/>
      <c r="H425" s="25"/>
      <c r="I425" s="25"/>
      <c r="J425" s="25"/>
      <c r="M425" s="25"/>
      <c r="N425" s="25"/>
      <c r="O425" s="25"/>
    </row>
    <row r="426" spans="3:15">
      <c r="C426" s="25"/>
      <c r="D426" s="25"/>
      <c r="E426" s="25"/>
      <c r="F426" s="25"/>
      <c r="G426" s="25"/>
      <c r="H426" s="25"/>
      <c r="I426" s="25"/>
      <c r="J426" s="25"/>
      <c r="M426" s="25"/>
      <c r="N426" s="25"/>
      <c r="O426" s="25"/>
    </row>
    <row r="427" spans="3:15">
      <c r="C427" s="25"/>
      <c r="D427" s="25"/>
      <c r="E427" s="25"/>
      <c r="F427" s="25"/>
      <c r="G427" s="25"/>
      <c r="H427" s="25"/>
      <c r="I427" s="25"/>
      <c r="J427" s="25"/>
      <c r="M427" s="25"/>
      <c r="N427" s="25"/>
      <c r="O427" s="25"/>
    </row>
    <row r="428" spans="3:15">
      <c r="C428" s="25"/>
      <c r="D428" s="25"/>
      <c r="E428" s="25"/>
      <c r="F428" s="25"/>
      <c r="G428" s="25"/>
      <c r="H428" s="25"/>
      <c r="I428" s="25"/>
      <c r="J428" s="25"/>
      <c r="M428" s="25"/>
      <c r="N428" s="25"/>
      <c r="O428" s="25"/>
    </row>
    <row r="429" spans="3:15">
      <c r="C429" s="25"/>
      <c r="D429" s="25"/>
      <c r="E429" s="25"/>
      <c r="F429" s="25"/>
      <c r="G429" s="25"/>
      <c r="H429" s="25"/>
      <c r="I429" s="25"/>
      <c r="J429" s="25"/>
      <c r="M429" s="25"/>
      <c r="N429" s="25"/>
      <c r="O429" s="25"/>
    </row>
    <row r="430" spans="3:15">
      <c r="C430" s="25"/>
      <c r="D430" s="25"/>
      <c r="E430" s="25"/>
      <c r="F430" s="25"/>
      <c r="G430" s="25"/>
      <c r="H430" s="25"/>
      <c r="I430" s="25"/>
      <c r="J430" s="25"/>
      <c r="M430" s="25"/>
      <c r="N430" s="25"/>
      <c r="O430" s="25"/>
    </row>
    <row r="431" spans="3:15">
      <c r="C431" s="25"/>
      <c r="D431" s="25"/>
      <c r="E431" s="25"/>
      <c r="F431" s="25"/>
      <c r="G431" s="25"/>
      <c r="H431" s="25"/>
      <c r="I431" s="25"/>
      <c r="J431" s="25"/>
      <c r="M431" s="25"/>
      <c r="N431" s="25"/>
      <c r="O431" s="25"/>
    </row>
    <row r="432" spans="3:15">
      <c r="C432" s="25"/>
      <c r="D432" s="25"/>
      <c r="E432" s="25"/>
      <c r="F432" s="25"/>
      <c r="G432" s="25"/>
      <c r="H432" s="25"/>
      <c r="I432" s="25"/>
      <c r="J432" s="25"/>
      <c r="M432" s="25"/>
      <c r="N432" s="25"/>
      <c r="O432" s="25"/>
    </row>
    <row r="433" spans="3:15">
      <c r="C433" s="25"/>
      <c r="D433" s="25"/>
      <c r="E433" s="25"/>
      <c r="F433" s="25"/>
      <c r="G433" s="25"/>
      <c r="H433" s="25"/>
      <c r="I433" s="25"/>
      <c r="J433" s="25"/>
      <c r="M433" s="25"/>
      <c r="N433" s="25"/>
      <c r="O433" s="25"/>
    </row>
    <row r="434" spans="3:15">
      <c r="C434" s="25"/>
      <c r="D434" s="25"/>
      <c r="E434" s="25"/>
      <c r="F434" s="25"/>
      <c r="G434" s="25"/>
      <c r="H434" s="25"/>
      <c r="I434" s="25"/>
      <c r="J434" s="25"/>
      <c r="M434" s="25"/>
      <c r="N434" s="25"/>
      <c r="O434" s="25"/>
    </row>
    <row r="435" spans="3:15">
      <c r="C435" s="25"/>
      <c r="D435" s="25"/>
      <c r="E435" s="25"/>
      <c r="F435" s="25"/>
      <c r="G435" s="25"/>
      <c r="H435" s="25"/>
      <c r="I435" s="25"/>
      <c r="J435" s="25"/>
      <c r="M435" s="25"/>
      <c r="N435" s="25"/>
      <c r="O435" s="25"/>
    </row>
    <row r="436" spans="3:15">
      <c r="C436" s="25"/>
      <c r="D436" s="25"/>
      <c r="E436" s="25"/>
      <c r="F436" s="25"/>
      <c r="G436" s="25"/>
      <c r="H436" s="25"/>
      <c r="I436" s="25"/>
      <c r="J436" s="25"/>
      <c r="M436" s="25"/>
      <c r="N436" s="25"/>
      <c r="O436" s="25"/>
    </row>
    <row r="437" spans="3:15">
      <c r="C437" s="25"/>
      <c r="D437" s="25"/>
      <c r="E437" s="25"/>
      <c r="F437" s="25"/>
      <c r="G437" s="25"/>
      <c r="H437" s="25"/>
      <c r="I437" s="25"/>
      <c r="J437" s="25"/>
      <c r="M437" s="25"/>
      <c r="N437" s="25"/>
      <c r="O437" s="25"/>
    </row>
    <row r="438" spans="3:15">
      <c r="C438" s="25"/>
      <c r="D438" s="25"/>
      <c r="E438" s="25"/>
      <c r="F438" s="25"/>
      <c r="G438" s="25"/>
      <c r="H438" s="25"/>
      <c r="I438" s="25"/>
      <c r="J438" s="25"/>
      <c r="M438" s="25"/>
      <c r="N438" s="25"/>
      <c r="O438" s="25"/>
    </row>
    <row r="439" spans="3:15">
      <c r="C439" s="25"/>
      <c r="D439" s="25"/>
      <c r="E439" s="25"/>
      <c r="F439" s="25"/>
      <c r="G439" s="25"/>
      <c r="H439" s="25"/>
      <c r="I439" s="25"/>
      <c r="J439" s="25"/>
      <c r="M439" s="25"/>
      <c r="N439" s="25"/>
      <c r="O439" s="25"/>
    </row>
    <row r="440" spans="3:15">
      <c r="C440" s="25"/>
      <c r="D440" s="25"/>
      <c r="E440" s="25"/>
      <c r="F440" s="25"/>
      <c r="G440" s="25"/>
      <c r="H440" s="25"/>
      <c r="I440" s="25"/>
      <c r="J440" s="25"/>
      <c r="M440" s="25"/>
      <c r="N440" s="25"/>
      <c r="O440" s="25"/>
    </row>
    <row r="441" spans="3:15">
      <c r="C441" s="25"/>
      <c r="D441" s="25"/>
      <c r="E441" s="25"/>
      <c r="F441" s="25"/>
      <c r="G441" s="25"/>
      <c r="H441" s="25"/>
      <c r="I441" s="25"/>
      <c r="J441" s="25"/>
      <c r="M441" s="25"/>
      <c r="N441" s="25"/>
      <c r="O441" s="25"/>
    </row>
    <row r="442" spans="3:15">
      <c r="C442" s="25"/>
      <c r="D442" s="25"/>
      <c r="E442" s="25"/>
      <c r="F442" s="25"/>
      <c r="G442" s="25"/>
      <c r="H442" s="25"/>
      <c r="I442" s="25"/>
      <c r="J442" s="25"/>
      <c r="M442" s="25"/>
      <c r="N442" s="25"/>
      <c r="O442" s="25"/>
    </row>
    <row r="443" spans="3:15">
      <c r="C443" s="25"/>
      <c r="D443" s="25"/>
      <c r="E443" s="25"/>
      <c r="F443" s="25"/>
      <c r="G443" s="25"/>
      <c r="H443" s="25"/>
      <c r="I443" s="25"/>
      <c r="J443" s="25"/>
      <c r="M443" s="25"/>
      <c r="N443" s="25"/>
      <c r="O443" s="25"/>
    </row>
    <row r="444" spans="3:15">
      <c r="C444" s="25"/>
      <c r="D444" s="25"/>
      <c r="E444" s="25"/>
      <c r="F444" s="25"/>
      <c r="G444" s="25"/>
      <c r="H444" s="25"/>
      <c r="I444" s="25"/>
      <c r="J444" s="25"/>
      <c r="M444" s="25"/>
      <c r="N444" s="25"/>
      <c r="O444" s="25"/>
    </row>
    <row r="445" spans="3:15">
      <c r="C445" s="25"/>
      <c r="D445" s="25"/>
      <c r="E445" s="25"/>
      <c r="F445" s="25"/>
      <c r="G445" s="25"/>
      <c r="H445" s="25"/>
      <c r="I445" s="25"/>
      <c r="J445" s="25"/>
      <c r="M445" s="25"/>
      <c r="N445" s="25"/>
      <c r="O445" s="25"/>
    </row>
    <row r="446" spans="3:15">
      <c r="C446" s="25"/>
      <c r="D446" s="25"/>
      <c r="E446" s="25"/>
      <c r="F446" s="25"/>
      <c r="G446" s="25"/>
      <c r="H446" s="25"/>
      <c r="I446" s="25"/>
      <c r="J446" s="25"/>
      <c r="M446" s="25"/>
      <c r="N446" s="25"/>
      <c r="O446" s="25"/>
    </row>
    <row r="447" spans="3:15">
      <c r="C447" s="25"/>
      <c r="D447" s="25"/>
      <c r="E447" s="25"/>
      <c r="F447" s="25"/>
      <c r="G447" s="25"/>
      <c r="H447" s="25"/>
      <c r="I447" s="25"/>
      <c r="J447" s="25"/>
      <c r="M447" s="25"/>
      <c r="N447" s="25"/>
      <c r="O447" s="25"/>
    </row>
    <row r="448" spans="3:15">
      <c r="C448" s="25"/>
      <c r="D448" s="25"/>
      <c r="E448" s="25"/>
      <c r="F448" s="25"/>
      <c r="G448" s="25"/>
      <c r="H448" s="25"/>
      <c r="I448" s="25"/>
      <c r="J448" s="25"/>
      <c r="M448" s="25"/>
      <c r="N448" s="25"/>
      <c r="O448" s="25"/>
    </row>
    <row r="449" spans="3:15">
      <c r="C449" s="25"/>
      <c r="D449" s="25"/>
      <c r="E449" s="25"/>
      <c r="F449" s="25"/>
      <c r="G449" s="25"/>
      <c r="H449" s="25"/>
      <c r="I449" s="25"/>
      <c r="J449" s="25"/>
      <c r="M449" s="25"/>
      <c r="N449" s="25"/>
      <c r="O449" s="25"/>
    </row>
    <row r="450" spans="3:15">
      <c r="C450" s="25"/>
      <c r="D450" s="25"/>
      <c r="E450" s="25"/>
      <c r="F450" s="25"/>
      <c r="G450" s="25"/>
      <c r="H450" s="25"/>
      <c r="I450" s="25"/>
      <c r="J450" s="25"/>
      <c r="M450" s="25"/>
      <c r="N450" s="25"/>
      <c r="O450" s="25"/>
    </row>
    <row r="451" spans="3:15">
      <c r="C451" s="25"/>
      <c r="D451" s="25"/>
      <c r="E451" s="25"/>
      <c r="F451" s="25"/>
      <c r="G451" s="25"/>
      <c r="H451" s="25"/>
      <c r="I451" s="25"/>
      <c r="J451" s="25"/>
      <c r="M451" s="25"/>
      <c r="N451" s="25"/>
      <c r="O451" s="25"/>
    </row>
    <row r="452" spans="3:15">
      <c r="C452" s="25"/>
      <c r="D452" s="25"/>
      <c r="E452" s="25"/>
      <c r="F452" s="25"/>
      <c r="G452" s="25"/>
      <c r="H452" s="25"/>
      <c r="I452" s="25"/>
      <c r="J452" s="25"/>
      <c r="M452" s="25"/>
      <c r="N452" s="25"/>
      <c r="O452" s="25"/>
    </row>
    <row r="453" spans="3:15">
      <c r="C453" s="25"/>
      <c r="D453" s="25"/>
      <c r="E453" s="25"/>
      <c r="F453" s="25"/>
      <c r="G453" s="25"/>
      <c r="H453" s="25"/>
      <c r="I453" s="25"/>
      <c r="J453" s="25"/>
      <c r="M453" s="25"/>
      <c r="N453" s="25"/>
      <c r="O453" s="25"/>
    </row>
    <row r="454" spans="3:15">
      <c r="C454" s="25"/>
      <c r="D454" s="25"/>
      <c r="E454" s="25"/>
      <c r="F454" s="25"/>
      <c r="G454" s="25"/>
      <c r="H454" s="25"/>
      <c r="I454" s="25"/>
      <c r="J454" s="25"/>
      <c r="M454" s="25"/>
      <c r="N454" s="25"/>
      <c r="O454" s="25"/>
    </row>
    <row r="455" spans="3:15">
      <c r="C455" s="25"/>
      <c r="D455" s="25"/>
      <c r="E455" s="25"/>
      <c r="F455" s="25"/>
      <c r="G455" s="25"/>
      <c r="H455" s="25"/>
      <c r="I455" s="25"/>
      <c r="J455" s="25"/>
      <c r="M455" s="25"/>
      <c r="N455" s="25"/>
      <c r="O455" s="25"/>
    </row>
    <row r="456" spans="3:15">
      <c r="C456" s="25"/>
      <c r="D456" s="25"/>
      <c r="E456" s="25"/>
      <c r="F456" s="25"/>
      <c r="G456" s="25"/>
      <c r="H456" s="25"/>
      <c r="I456" s="25"/>
      <c r="J456" s="25"/>
      <c r="M456" s="25"/>
      <c r="N456" s="25"/>
      <c r="O456" s="25"/>
    </row>
    <row r="457" spans="3:15">
      <c r="C457" s="25"/>
      <c r="D457" s="25"/>
      <c r="E457" s="25"/>
      <c r="F457" s="25"/>
      <c r="G457" s="25"/>
      <c r="H457" s="25"/>
      <c r="I457" s="25"/>
      <c r="J457" s="25"/>
      <c r="M457" s="25"/>
      <c r="N457" s="25"/>
      <c r="O457" s="25"/>
    </row>
    <row r="458" spans="3:15">
      <c r="C458" s="25"/>
      <c r="D458" s="25"/>
      <c r="E458" s="25"/>
      <c r="F458" s="25"/>
      <c r="G458" s="25"/>
      <c r="H458" s="25"/>
      <c r="I458" s="25"/>
      <c r="J458" s="25"/>
      <c r="M458" s="25"/>
      <c r="N458" s="25"/>
      <c r="O458" s="25"/>
    </row>
    <row r="459" spans="3:15">
      <c r="C459" s="25"/>
      <c r="D459" s="25"/>
      <c r="E459" s="25"/>
      <c r="F459" s="25"/>
      <c r="G459" s="25"/>
      <c r="H459" s="25"/>
      <c r="I459" s="25"/>
      <c r="J459" s="25"/>
      <c r="M459" s="25"/>
      <c r="N459" s="25"/>
      <c r="O459" s="25"/>
    </row>
    <row r="460" spans="3:15">
      <c r="C460" s="25"/>
      <c r="D460" s="25"/>
      <c r="E460" s="25"/>
      <c r="F460" s="25"/>
      <c r="G460" s="25"/>
      <c r="H460" s="25"/>
      <c r="I460" s="25"/>
      <c r="J460" s="25"/>
      <c r="M460" s="25"/>
      <c r="N460" s="25"/>
      <c r="O460" s="25"/>
    </row>
    <row r="461" spans="3:15">
      <c r="C461" s="25"/>
      <c r="D461" s="25"/>
      <c r="E461" s="25"/>
      <c r="F461" s="25"/>
      <c r="G461" s="25"/>
      <c r="H461" s="25"/>
      <c r="I461" s="25"/>
      <c r="J461" s="25"/>
      <c r="M461" s="25"/>
      <c r="N461" s="25"/>
      <c r="O461" s="25"/>
    </row>
    <row r="462" spans="3:15">
      <c r="C462" s="25"/>
      <c r="D462" s="25"/>
      <c r="E462" s="25"/>
      <c r="F462" s="25"/>
      <c r="G462" s="25"/>
      <c r="H462" s="25"/>
      <c r="I462" s="25"/>
      <c r="J462" s="25"/>
      <c r="M462" s="25"/>
      <c r="N462" s="25"/>
      <c r="O462" s="25"/>
    </row>
    <row r="463" spans="3:15">
      <c r="C463" s="25"/>
      <c r="D463" s="25"/>
      <c r="E463" s="25"/>
      <c r="F463" s="25"/>
      <c r="G463" s="25"/>
      <c r="H463" s="25"/>
      <c r="I463" s="25"/>
      <c r="J463" s="25"/>
      <c r="M463" s="25"/>
      <c r="N463" s="25"/>
      <c r="O463" s="25"/>
    </row>
    <row r="464" spans="3:15">
      <c r="C464" s="25"/>
      <c r="D464" s="25"/>
      <c r="E464" s="25"/>
      <c r="F464" s="25"/>
      <c r="G464" s="25"/>
      <c r="H464" s="25"/>
      <c r="I464" s="25"/>
      <c r="J464" s="25"/>
      <c r="M464" s="25"/>
      <c r="N464" s="25"/>
      <c r="O464" s="25"/>
    </row>
    <row r="465" spans="3:15">
      <c r="C465" s="25"/>
      <c r="D465" s="25"/>
      <c r="E465" s="25"/>
      <c r="F465" s="25"/>
      <c r="G465" s="25"/>
      <c r="H465" s="25"/>
      <c r="I465" s="25"/>
      <c r="J465" s="25"/>
      <c r="M465" s="25"/>
      <c r="N465" s="25"/>
      <c r="O465" s="25"/>
    </row>
    <row r="466" spans="3:15">
      <c r="C466" s="25"/>
      <c r="D466" s="25"/>
      <c r="E466" s="25"/>
      <c r="F466" s="25"/>
      <c r="G466" s="25"/>
      <c r="H466" s="25"/>
      <c r="I466" s="25"/>
      <c r="J466" s="25"/>
      <c r="M466" s="25"/>
      <c r="N466" s="25"/>
      <c r="O466" s="25"/>
    </row>
    <row r="467" spans="3:15">
      <c r="C467" s="25"/>
      <c r="D467" s="25"/>
      <c r="E467" s="25"/>
      <c r="F467" s="25"/>
      <c r="G467" s="25"/>
      <c r="H467" s="25"/>
      <c r="I467" s="25"/>
      <c r="J467" s="25"/>
      <c r="M467" s="25"/>
      <c r="N467" s="25"/>
      <c r="O467" s="25"/>
    </row>
    <row r="468" spans="3:15">
      <c r="C468" s="25"/>
      <c r="D468" s="25"/>
      <c r="E468" s="25"/>
      <c r="F468" s="25"/>
      <c r="G468" s="25"/>
      <c r="H468" s="25"/>
      <c r="I468" s="25"/>
      <c r="J468" s="25"/>
      <c r="M468" s="25"/>
      <c r="N468" s="25"/>
      <c r="O468" s="25"/>
    </row>
    <row r="469" spans="3:15">
      <c r="C469" s="25"/>
      <c r="D469" s="25"/>
      <c r="E469" s="25"/>
      <c r="F469" s="25"/>
      <c r="G469" s="25"/>
      <c r="H469" s="25"/>
      <c r="I469" s="25"/>
      <c r="J469" s="25"/>
      <c r="M469" s="25"/>
      <c r="N469" s="25"/>
      <c r="O469" s="25"/>
    </row>
    <row r="470" spans="3:15">
      <c r="C470" s="25"/>
      <c r="D470" s="25"/>
      <c r="E470" s="25"/>
      <c r="F470" s="25"/>
      <c r="G470" s="25"/>
      <c r="H470" s="25"/>
      <c r="I470" s="25"/>
      <c r="J470" s="25"/>
      <c r="M470" s="25"/>
      <c r="N470" s="25"/>
      <c r="O470" s="25"/>
    </row>
    <row r="471" spans="3:15">
      <c r="C471" s="25"/>
      <c r="D471" s="25"/>
      <c r="E471" s="25"/>
      <c r="F471" s="25"/>
      <c r="G471" s="25"/>
      <c r="H471" s="25"/>
      <c r="I471" s="25"/>
      <c r="J471" s="25"/>
      <c r="M471" s="25"/>
      <c r="N471" s="25"/>
      <c r="O471" s="25"/>
    </row>
    <row r="472" spans="3:15">
      <c r="C472" s="25"/>
      <c r="D472" s="25"/>
      <c r="E472" s="25"/>
      <c r="F472" s="25"/>
      <c r="G472" s="25"/>
      <c r="H472" s="25"/>
      <c r="I472" s="25"/>
      <c r="J472" s="25"/>
      <c r="M472" s="25"/>
      <c r="N472" s="25"/>
      <c r="O472" s="25"/>
    </row>
    <row r="473" spans="3:15">
      <c r="C473" s="25"/>
      <c r="D473" s="25"/>
      <c r="E473" s="25"/>
      <c r="F473" s="25"/>
      <c r="G473" s="25"/>
      <c r="H473" s="25"/>
      <c r="I473" s="25"/>
      <c r="J473" s="25"/>
      <c r="M473" s="25"/>
      <c r="N473" s="25"/>
      <c r="O473" s="25"/>
    </row>
    <row r="474" spans="3:15">
      <c r="C474" s="25"/>
      <c r="D474" s="25"/>
      <c r="E474" s="25"/>
      <c r="F474" s="25"/>
      <c r="G474" s="25"/>
      <c r="H474" s="25"/>
      <c r="I474" s="25"/>
      <c r="J474" s="25"/>
      <c r="M474" s="25"/>
      <c r="N474" s="25"/>
      <c r="O474" s="25"/>
    </row>
    <row r="475" spans="3:15">
      <c r="C475" s="25"/>
      <c r="D475" s="25"/>
      <c r="E475" s="25"/>
      <c r="F475" s="25"/>
      <c r="G475" s="25"/>
      <c r="H475" s="25"/>
      <c r="I475" s="25"/>
      <c r="J475" s="25"/>
      <c r="M475" s="25"/>
      <c r="N475" s="25"/>
      <c r="O475" s="25"/>
    </row>
    <row r="476" spans="3:15">
      <c r="C476" s="25"/>
      <c r="D476" s="25"/>
      <c r="E476" s="25"/>
      <c r="F476" s="25"/>
      <c r="G476" s="25"/>
      <c r="H476" s="25"/>
      <c r="I476" s="25"/>
      <c r="J476" s="25"/>
      <c r="M476" s="25"/>
      <c r="N476" s="25"/>
      <c r="O476" s="25"/>
    </row>
    <row r="477" spans="3:15">
      <c r="C477" s="25"/>
      <c r="D477" s="25"/>
      <c r="E477" s="25"/>
      <c r="F477" s="25"/>
      <c r="G477" s="25"/>
      <c r="H477" s="25"/>
      <c r="I477" s="25"/>
      <c r="J477" s="25"/>
      <c r="M477" s="25"/>
      <c r="N477" s="25"/>
      <c r="O477" s="25"/>
    </row>
    <row r="478" spans="3:15">
      <c r="C478" s="25"/>
      <c r="D478" s="25"/>
      <c r="E478" s="25"/>
      <c r="F478" s="25"/>
      <c r="G478" s="25"/>
      <c r="H478" s="25"/>
      <c r="I478" s="25"/>
      <c r="J478" s="25"/>
      <c r="M478" s="25"/>
      <c r="N478" s="25"/>
      <c r="O478" s="25"/>
    </row>
    <row r="479" spans="3:15">
      <c r="C479" s="25"/>
      <c r="D479" s="25"/>
      <c r="E479" s="25"/>
      <c r="F479" s="25"/>
      <c r="G479" s="25"/>
      <c r="H479" s="25"/>
      <c r="I479" s="25"/>
      <c r="J479" s="25"/>
      <c r="M479" s="25"/>
      <c r="N479" s="25"/>
      <c r="O479" s="25"/>
    </row>
    <row r="480" spans="3:15">
      <c r="C480" s="25"/>
      <c r="D480" s="25"/>
      <c r="E480" s="25"/>
      <c r="F480" s="25"/>
      <c r="G480" s="25"/>
      <c r="H480" s="25"/>
      <c r="I480" s="25"/>
      <c r="J480" s="25"/>
      <c r="M480" s="25"/>
      <c r="N480" s="25"/>
      <c r="O480" s="25"/>
    </row>
    <row r="481" spans="3:15">
      <c r="C481" s="25"/>
      <c r="D481" s="25"/>
      <c r="E481" s="25"/>
      <c r="F481" s="25"/>
      <c r="G481" s="25"/>
      <c r="H481" s="25"/>
      <c r="I481" s="25"/>
      <c r="J481" s="25"/>
      <c r="M481" s="25"/>
      <c r="N481" s="25"/>
      <c r="O481" s="25"/>
    </row>
    <row r="482" spans="3:15">
      <c r="C482" s="25"/>
      <c r="D482" s="25"/>
      <c r="E482" s="25"/>
      <c r="F482" s="25"/>
      <c r="G482" s="25"/>
      <c r="H482" s="25"/>
      <c r="I482" s="25"/>
      <c r="J482" s="25"/>
      <c r="M482" s="25"/>
      <c r="N482" s="25"/>
      <c r="O482" s="25"/>
    </row>
    <row r="483" spans="3:15">
      <c r="C483" s="25"/>
      <c r="D483" s="25"/>
      <c r="E483" s="25"/>
      <c r="F483" s="25"/>
      <c r="G483" s="25"/>
      <c r="H483" s="25"/>
      <c r="I483" s="25"/>
      <c r="J483" s="25"/>
      <c r="M483" s="25"/>
      <c r="N483" s="25"/>
      <c r="O483" s="25"/>
    </row>
    <row r="484" spans="3:15">
      <c r="C484" s="25"/>
      <c r="D484" s="25"/>
      <c r="E484" s="25"/>
      <c r="F484" s="25"/>
      <c r="G484" s="25"/>
      <c r="H484" s="25"/>
      <c r="I484" s="25"/>
      <c r="J484" s="25"/>
      <c r="M484" s="25"/>
      <c r="N484" s="25"/>
      <c r="O484" s="25"/>
    </row>
    <row r="485" spans="3:15">
      <c r="C485" s="25"/>
      <c r="D485" s="25"/>
      <c r="E485" s="25"/>
      <c r="F485" s="25"/>
      <c r="G485" s="25"/>
      <c r="H485" s="25"/>
      <c r="I485" s="25"/>
      <c r="J485" s="25"/>
      <c r="M485" s="25"/>
      <c r="N485" s="25"/>
      <c r="O485" s="25"/>
    </row>
    <row r="486" spans="3:15">
      <c r="C486" s="25"/>
      <c r="D486" s="25"/>
      <c r="E486" s="25"/>
      <c r="F486" s="25"/>
      <c r="G486" s="25"/>
      <c r="H486" s="25"/>
      <c r="I486" s="25"/>
      <c r="J486" s="25"/>
      <c r="M486" s="25"/>
      <c r="N486" s="25"/>
      <c r="O486" s="25"/>
    </row>
    <row r="487" spans="3:15">
      <c r="C487" s="25"/>
      <c r="D487" s="25"/>
      <c r="E487" s="25"/>
      <c r="F487" s="25"/>
      <c r="G487" s="25"/>
      <c r="H487" s="25"/>
      <c r="I487" s="25"/>
      <c r="J487" s="25"/>
      <c r="M487" s="25"/>
      <c r="N487" s="25"/>
      <c r="O487" s="25"/>
    </row>
    <row r="488" spans="3:15">
      <c r="C488" s="25"/>
      <c r="D488" s="25"/>
      <c r="E488" s="25"/>
      <c r="F488" s="25"/>
      <c r="G488" s="25"/>
      <c r="H488" s="25"/>
      <c r="I488" s="25"/>
      <c r="J488" s="25"/>
      <c r="M488" s="25"/>
      <c r="N488" s="25"/>
      <c r="O488" s="25"/>
    </row>
    <row r="489" spans="3:15">
      <c r="C489" s="25"/>
      <c r="D489" s="25"/>
      <c r="E489" s="25"/>
      <c r="F489" s="25"/>
      <c r="G489" s="25"/>
      <c r="H489" s="25"/>
      <c r="I489" s="25"/>
      <c r="J489" s="25"/>
      <c r="M489" s="25"/>
      <c r="N489" s="25"/>
      <c r="O489" s="25"/>
    </row>
    <row r="490" spans="3:15">
      <c r="C490" s="25"/>
      <c r="D490" s="25"/>
      <c r="E490" s="25"/>
      <c r="F490" s="25"/>
      <c r="G490" s="25"/>
      <c r="H490" s="25"/>
      <c r="I490" s="25"/>
      <c r="J490" s="25"/>
      <c r="M490" s="25"/>
      <c r="N490" s="25"/>
      <c r="O490" s="25"/>
    </row>
    <row r="491" spans="3:15">
      <c r="C491" s="25"/>
      <c r="D491" s="25"/>
      <c r="E491" s="25"/>
      <c r="F491" s="25"/>
      <c r="G491" s="25"/>
      <c r="H491" s="25"/>
      <c r="I491" s="25"/>
      <c r="J491" s="25"/>
      <c r="M491" s="25"/>
      <c r="N491" s="25"/>
      <c r="O491" s="25"/>
    </row>
    <row r="492" spans="3:15">
      <c r="C492" s="25"/>
      <c r="D492" s="25"/>
      <c r="E492" s="25"/>
      <c r="F492" s="25"/>
      <c r="G492" s="25"/>
      <c r="H492" s="25"/>
      <c r="I492" s="25"/>
      <c r="J492" s="25"/>
      <c r="M492" s="25"/>
      <c r="N492" s="25"/>
      <c r="O492" s="25"/>
    </row>
    <row r="493" spans="3:15">
      <c r="C493" s="25"/>
      <c r="D493" s="25"/>
      <c r="E493" s="25"/>
      <c r="F493" s="25"/>
      <c r="G493" s="25"/>
      <c r="H493" s="25"/>
      <c r="I493" s="25"/>
      <c r="J493" s="25"/>
      <c r="M493" s="25"/>
      <c r="N493" s="25"/>
      <c r="O493" s="25"/>
    </row>
    <row r="494" spans="3:15">
      <c r="C494" s="25"/>
      <c r="D494" s="25"/>
      <c r="E494" s="25"/>
      <c r="F494" s="25"/>
      <c r="G494" s="25"/>
      <c r="H494" s="25"/>
      <c r="I494" s="25"/>
      <c r="J494" s="25"/>
      <c r="M494" s="25"/>
      <c r="N494" s="25"/>
      <c r="O494" s="25"/>
    </row>
    <row r="495" spans="3:15">
      <c r="C495" s="25"/>
      <c r="D495" s="25"/>
      <c r="E495" s="25"/>
      <c r="F495" s="25"/>
      <c r="G495" s="25"/>
      <c r="H495" s="25"/>
      <c r="I495" s="25"/>
      <c r="J495" s="25"/>
      <c r="M495" s="25"/>
      <c r="N495" s="25"/>
      <c r="O495" s="25"/>
    </row>
    <row r="496" spans="3:15">
      <c r="C496" s="25"/>
      <c r="D496" s="25"/>
      <c r="E496" s="25"/>
      <c r="F496" s="25"/>
      <c r="G496" s="25"/>
      <c r="H496" s="25"/>
      <c r="I496" s="25"/>
      <c r="J496" s="25"/>
      <c r="M496" s="25"/>
      <c r="N496" s="25"/>
      <c r="O496" s="25"/>
    </row>
    <row r="497" spans="3:15">
      <c r="C497" s="25"/>
      <c r="D497" s="25"/>
      <c r="E497" s="25"/>
      <c r="F497" s="25"/>
      <c r="G497" s="25"/>
      <c r="H497" s="25"/>
      <c r="I497" s="25"/>
      <c r="J497" s="25"/>
      <c r="M497" s="25"/>
      <c r="N497" s="25"/>
      <c r="O497" s="25"/>
    </row>
    <row r="498" spans="3:15">
      <c r="C498" s="25"/>
      <c r="D498" s="25"/>
      <c r="E498" s="25"/>
      <c r="F498" s="25"/>
      <c r="G498" s="25"/>
      <c r="H498" s="25"/>
      <c r="I498" s="25"/>
      <c r="J498" s="25"/>
      <c r="M498" s="25"/>
      <c r="N498" s="25"/>
      <c r="O498" s="25"/>
    </row>
    <row r="499" spans="3:15">
      <c r="C499" s="25"/>
      <c r="D499" s="25"/>
      <c r="E499" s="25"/>
      <c r="F499" s="25"/>
      <c r="G499" s="25"/>
      <c r="H499" s="25"/>
      <c r="I499" s="25"/>
      <c r="J499" s="25"/>
      <c r="M499" s="25"/>
      <c r="N499" s="25"/>
      <c r="O499" s="25"/>
    </row>
    <row r="500" spans="3:15">
      <c r="C500" s="25"/>
      <c r="D500" s="25"/>
      <c r="E500" s="25"/>
      <c r="F500" s="25"/>
      <c r="G500" s="25"/>
      <c r="H500" s="25"/>
      <c r="I500" s="25"/>
      <c r="J500" s="25"/>
      <c r="M500" s="25"/>
      <c r="N500" s="25"/>
      <c r="O500" s="25"/>
    </row>
    <row r="501" spans="3:15">
      <c r="C501" s="25"/>
      <c r="D501" s="25"/>
      <c r="E501" s="25"/>
      <c r="F501" s="25"/>
      <c r="G501" s="25"/>
      <c r="H501" s="25"/>
      <c r="I501" s="25"/>
      <c r="J501" s="25"/>
      <c r="M501" s="25"/>
      <c r="N501" s="25"/>
      <c r="O501" s="25"/>
    </row>
    <row r="502" spans="3:15">
      <c r="C502" s="25"/>
      <c r="D502" s="25"/>
      <c r="E502" s="25"/>
      <c r="F502" s="25"/>
      <c r="G502" s="25"/>
      <c r="H502" s="25"/>
      <c r="I502" s="25"/>
      <c r="J502" s="25"/>
      <c r="M502" s="25"/>
      <c r="N502" s="25"/>
      <c r="O502" s="25"/>
    </row>
    <row r="503" spans="3:15">
      <c r="C503" s="25"/>
      <c r="D503" s="25"/>
      <c r="E503" s="25"/>
      <c r="F503" s="25"/>
      <c r="G503" s="25"/>
      <c r="H503" s="25"/>
      <c r="I503" s="25"/>
      <c r="J503" s="25"/>
      <c r="M503" s="25"/>
      <c r="N503" s="25"/>
      <c r="O503" s="25"/>
    </row>
    <row r="504" spans="3:15">
      <c r="C504" s="25"/>
      <c r="D504" s="25"/>
      <c r="E504" s="25"/>
      <c r="F504" s="25"/>
      <c r="G504" s="25"/>
      <c r="H504" s="25"/>
      <c r="I504" s="25"/>
      <c r="J504" s="25"/>
      <c r="M504" s="25"/>
      <c r="N504" s="25"/>
      <c r="O504" s="25"/>
    </row>
    <row r="505" spans="3:15">
      <c r="C505" s="25"/>
      <c r="D505" s="25"/>
      <c r="E505" s="25"/>
      <c r="F505" s="25"/>
      <c r="G505" s="25"/>
      <c r="H505" s="25"/>
      <c r="I505" s="25"/>
      <c r="J505" s="25"/>
      <c r="M505" s="25"/>
      <c r="N505" s="25"/>
      <c r="O505" s="25"/>
    </row>
    <row r="506" spans="3:15">
      <c r="C506" s="25"/>
      <c r="D506" s="25"/>
      <c r="E506" s="25"/>
      <c r="F506" s="25"/>
      <c r="G506" s="25"/>
      <c r="H506" s="25"/>
      <c r="I506" s="25"/>
      <c r="J506" s="25"/>
      <c r="M506" s="25"/>
      <c r="N506" s="25"/>
      <c r="O506" s="25"/>
    </row>
    <row r="507" spans="3:15">
      <c r="C507" s="25"/>
      <c r="D507" s="25"/>
      <c r="E507" s="25"/>
      <c r="F507" s="25"/>
      <c r="G507" s="25"/>
      <c r="H507" s="25"/>
      <c r="I507" s="25"/>
      <c r="J507" s="25"/>
      <c r="M507" s="25"/>
      <c r="N507" s="25"/>
      <c r="O507" s="25"/>
    </row>
    <row r="508" spans="3:15">
      <c r="C508" s="25"/>
      <c r="D508" s="25"/>
      <c r="E508" s="25"/>
      <c r="F508" s="25"/>
      <c r="G508" s="25"/>
      <c r="H508" s="25"/>
      <c r="I508" s="25"/>
      <c r="J508" s="25"/>
      <c r="M508" s="25"/>
      <c r="N508" s="25"/>
      <c r="O508" s="25"/>
    </row>
    <row r="509" spans="3:15">
      <c r="C509" s="25"/>
      <c r="D509" s="25"/>
      <c r="E509" s="25"/>
      <c r="F509" s="25"/>
      <c r="G509" s="25"/>
      <c r="H509" s="25"/>
      <c r="I509" s="25"/>
      <c r="J509" s="25"/>
      <c r="M509" s="25"/>
      <c r="N509" s="25"/>
      <c r="O509" s="25"/>
    </row>
    <row r="510" spans="3:15">
      <c r="C510" s="25"/>
      <c r="D510" s="25"/>
      <c r="E510" s="25"/>
      <c r="F510" s="25"/>
      <c r="G510" s="25"/>
      <c r="H510" s="25"/>
      <c r="I510" s="25"/>
      <c r="J510" s="25"/>
      <c r="M510" s="25"/>
      <c r="N510" s="25"/>
      <c r="O510" s="25"/>
    </row>
    <row r="511" spans="3:15">
      <c r="C511" s="25"/>
      <c r="D511" s="25"/>
      <c r="E511" s="25"/>
      <c r="F511" s="25"/>
      <c r="G511" s="25"/>
      <c r="H511" s="25"/>
      <c r="I511" s="25"/>
      <c r="J511" s="25"/>
      <c r="M511" s="25"/>
      <c r="N511" s="25"/>
      <c r="O511" s="25"/>
    </row>
    <row r="512" spans="3:15">
      <c r="C512" s="25"/>
      <c r="D512" s="25"/>
      <c r="E512" s="25"/>
      <c r="F512" s="25"/>
      <c r="G512" s="25"/>
      <c r="H512" s="25"/>
      <c r="I512" s="25"/>
      <c r="J512" s="25"/>
      <c r="M512" s="25"/>
      <c r="N512" s="25"/>
      <c r="O512" s="25"/>
    </row>
    <row r="513" spans="3:15">
      <c r="C513" s="25"/>
      <c r="D513" s="25"/>
      <c r="E513" s="25"/>
      <c r="F513" s="25"/>
      <c r="G513" s="25"/>
      <c r="H513" s="25"/>
      <c r="I513" s="25"/>
      <c r="J513" s="25"/>
      <c r="M513" s="25"/>
      <c r="N513" s="25"/>
      <c r="O513" s="25"/>
    </row>
    <row r="514" spans="3:15">
      <c r="C514" s="25"/>
      <c r="D514" s="25"/>
      <c r="E514" s="25"/>
      <c r="F514" s="25"/>
      <c r="G514" s="25"/>
      <c r="H514" s="25"/>
      <c r="I514" s="25"/>
      <c r="J514" s="25"/>
      <c r="M514" s="25"/>
      <c r="N514" s="25"/>
      <c r="O514" s="25"/>
    </row>
    <row r="515" spans="3:15">
      <c r="C515" s="25"/>
      <c r="D515" s="25"/>
      <c r="E515" s="25"/>
      <c r="F515" s="25"/>
      <c r="G515" s="25"/>
      <c r="H515" s="25"/>
      <c r="I515" s="25"/>
      <c r="J515" s="25"/>
      <c r="M515" s="25"/>
      <c r="N515" s="25"/>
      <c r="O515" s="25"/>
    </row>
    <row r="516" spans="3:15">
      <c r="C516" s="25"/>
      <c r="D516" s="25"/>
      <c r="E516" s="25"/>
      <c r="F516" s="25"/>
      <c r="G516" s="25"/>
      <c r="H516" s="25"/>
      <c r="I516" s="25"/>
      <c r="J516" s="25"/>
      <c r="M516" s="25"/>
      <c r="N516" s="25"/>
      <c r="O516" s="25"/>
    </row>
    <row r="517" spans="3:15">
      <c r="C517" s="25"/>
      <c r="D517" s="25"/>
      <c r="E517" s="25"/>
      <c r="F517" s="25"/>
      <c r="G517" s="25"/>
      <c r="H517" s="25"/>
      <c r="I517" s="25"/>
      <c r="J517" s="25"/>
      <c r="M517" s="25"/>
      <c r="N517" s="25"/>
      <c r="O517" s="25"/>
    </row>
    <row r="518" spans="3:15">
      <c r="C518" s="25"/>
      <c r="D518" s="25"/>
      <c r="E518" s="25"/>
      <c r="F518" s="25"/>
      <c r="G518" s="25"/>
      <c r="H518" s="25"/>
      <c r="I518" s="25"/>
      <c r="J518" s="25"/>
      <c r="M518" s="25"/>
      <c r="N518" s="25"/>
      <c r="O518" s="25"/>
    </row>
    <row r="519" spans="3:15">
      <c r="C519" s="25"/>
      <c r="D519" s="25"/>
      <c r="E519" s="25"/>
      <c r="F519" s="25"/>
      <c r="G519" s="25"/>
      <c r="H519" s="25"/>
      <c r="I519" s="25"/>
      <c r="J519" s="25"/>
      <c r="M519" s="25"/>
      <c r="N519" s="25"/>
      <c r="O519" s="25"/>
    </row>
    <row r="520" spans="3:15">
      <c r="C520" s="25"/>
      <c r="D520" s="25"/>
      <c r="E520" s="25"/>
      <c r="F520" s="25"/>
      <c r="G520" s="25"/>
      <c r="H520" s="25"/>
      <c r="I520" s="25"/>
      <c r="J520" s="25"/>
      <c r="M520" s="25"/>
      <c r="N520" s="25"/>
      <c r="O520" s="25"/>
    </row>
    <row r="521" spans="3:15">
      <c r="C521" s="25"/>
      <c r="D521" s="25"/>
      <c r="E521" s="25"/>
      <c r="F521" s="25"/>
      <c r="G521" s="25"/>
      <c r="H521" s="25"/>
      <c r="I521" s="25"/>
      <c r="J521" s="25"/>
      <c r="M521" s="25"/>
      <c r="N521" s="25"/>
      <c r="O521" s="25"/>
    </row>
    <row r="522" spans="3:15">
      <c r="C522" s="25"/>
      <c r="D522" s="25"/>
      <c r="E522" s="25"/>
      <c r="F522" s="25"/>
      <c r="G522" s="25"/>
      <c r="H522" s="25"/>
      <c r="I522" s="25"/>
      <c r="J522" s="25"/>
      <c r="M522" s="25"/>
      <c r="N522" s="25"/>
      <c r="O522" s="25"/>
    </row>
    <row r="523" spans="3:15">
      <c r="C523" s="25"/>
      <c r="D523" s="25"/>
      <c r="E523" s="25"/>
      <c r="F523" s="25"/>
      <c r="G523" s="25"/>
      <c r="H523" s="25"/>
      <c r="I523" s="25"/>
      <c r="J523" s="25"/>
      <c r="M523" s="25"/>
      <c r="N523" s="25"/>
      <c r="O523" s="25"/>
    </row>
    <row r="524" spans="3:15">
      <c r="C524" s="25"/>
      <c r="D524" s="25"/>
      <c r="E524" s="25"/>
      <c r="F524" s="25"/>
      <c r="G524" s="25"/>
      <c r="H524" s="25"/>
      <c r="I524" s="25"/>
      <c r="J524" s="25"/>
      <c r="M524" s="25"/>
      <c r="N524" s="25"/>
      <c r="O524" s="25"/>
    </row>
    <row r="525" spans="3:15">
      <c r="C525" s="25"/>
      <c r="D525" s="25"/>
      <c r="E525" s="25"/>
      <c r="F525" s="25"/>
      <c r="G525" s="25"/>
      <c r="H525" s="25"/>
      <c r="I525" s="25"/>
      <c r="J525" s="25"/>
      <c r="M525" s="25"/>
      <c r="N525" s="25"/>
      <c r="O525" s="25"/>
    </row>
    <row r="526" spans="3:15">
      <c r="C526" s="25"/>
      <c r="D526" s="25"/>
      <c r="E526" s="25"/>
      <c r="F526" s="25"/>
      <c r="G526" s="25"/>
      <c r="H526" s="25"/>
      <c r="I526" s="25"/>
      <c r="J526" s="25"/>
      <c r="M526" s="25"/>
      <c r="N526" s="25"/>
      <c r="O526" s="25"/>
    </row>
    <row r="527" spans="3:15">
      <c r="C527" s="25"/>
      <c r="D527" s="25"/>
      <c r="E527" s="25"/>
      <c r="F527" s="25"/>
      <c r="G527" s="25"/>
      <c r="H527" s="25"/>
      <c r="I527" s="25"/>
      <c r="J527" s="25"/>
      <c r="M527" s="25"/>
      <c r="N527" s="25"/>
      <c r="O527" s="25"/>
    </row>
    <row r="528" spans="3:15">
      <c r="C528" s="25"/>
      <c r="D528" s="25"/>
      <c r="E528" s="25"/>
      <c r="F528" s="25"/>
      <c r="G528" s="25"/>
      <c r="H528" s="25"/>
      <c r="I528" s="25"/>
      <c r="J528" s="25"/>
      <c r="M528" s="25"/>
      <c r="N528" s="25"/>
      <c r="O528" s="25"/>
    </row>
    <row r="529" spans="3:15">
      <c r="C529" s="25"/>
      <c r="D529" s="25"/>
      <c r="E529" s="25"/>
      <c r="F529" s="25"/>
      <c r="G529" s="25"/>
      <c r="H529" s="25"/>
      <c r="I529" s="25"/>
      <c r="J529" s="25"/>
      <c r="M529" s="25"/>
      <c r="N529" s="25"/>
      <c r="O529" s="25"/>
    </row>
    <row r="530" spans="3:15">
      <c r="C530" s="25"/>
      <c r="D530" s="25"/>
      <c r="E530" s="25"/>
      <c r="F530" s="25"/>
      <c r="G530" s="25"/>
      <c r="H530" s="25"/>
      <c r="I530" s="25"/>
      <c r="J530" s="25"/>
      <c r="M530" s="25"/>
      <c r="N530" s="25"/>
      <c r="O530" s="25"/>
    </row>
    <row r="531" spans="3:15">
      <c r="C531" s="25"/>
      <c r="D531" s="25"/>
      <c r="E531" s="25"/>
      <c r="F531" s="25"/>
      <c r="G531" s="25"/>
      <c r="H531" s="25"/>
      <c r="I531" s="25"/>
      <c r="J531" s="25"/>
      <c r="M531" s="25"/>
      <c r="N531" s="25"/>
      <c r="O531" s="25"/>
    </row>
    <row r="532" spans="3:15">
      <c r="C532" s="25"/>
      <c r="D532" s="25"/>
      <c r="E532" s="25"/>
      <c r="F532" s="25"/>
      <c r="G532" s="25"/>
      <c r="H532" s="25"/>
      <c r="I532" s="25"/>
      <c r="J532" s="25"/>
      <c r="M532" s="25"/>
      <c r="N532" s="25"/>
      <c r="O532" s="25"/>
    </row>
    <row r="533" spans="3:15">
      <c r="C533" s="25"/>
      <c r="D533" s="25"/>
      <c r="E533" s="25"/>
      <c r="F533" s="25"/>
      <c r="G533" s="25"/>
      <c r="H533" s="25"/>
      <c r="I533" s="25"/>
      <c r="J533" s="25"/>
      <c r="M533" s="25"/>
      <c r="N533" s="25"/>
      <c r="O533" s="25"/>
    </row>
    <row r="534" spans="3:15">
      <c r="C534" s="25"/>
      <c r="D534" s="25"/>
      <c r="E534" s="25"/>
      <c r="F534" s="25"/>
      <c r="G534" s="25"/>
      <c r="H534" s="25"/>
      <c r="I534" s="25"/>
      <c r="J534" s="25"/>
      <c r="M534" s="25"/>
      <c r="N534" s="25"/>
      <c r="O534" s="25"/>
    </row>
    <row r="535" spans="3:15">
      <c r="C535" s="25"/>
      <c r="D535" s="25"/>
      <c r="E535" s="25"/>
      <c r="F535" s="25"/>
      <c r="G535" s="25"/>
      <c r="H535" s="25"/>
      <c r="I535" s="25"/>
      <c r="J535" s="25"/>
      <c r="M535" s="25"/>
      <c r="N535" s="25"/>
      <c r="O535" s="25"/>
    </row>
    <row r="536" spans="3:15">
      <c r="C536" s="25"/>
      <c r="D536" s="25"/>
      <c r="E536" s="25"/>
      <c r="F536" s="25"/>
      <c r="G536" s="25"/>
      <c r="H536" s="25"/>
      <c r="I536" s="25"/>
      <c r="J536" s="25"/>
      <c r="M536" s="25"/>
      <c r="N536" s="25"/>
      <c r="O536" s="25"/>
    </row>
    <row r="537" spans="3:15">
      <c r="C537" s="25"/>
      <c r="D537" s="25"/>
      <c r="E537" s="25"/>
      <c r="F537" s="25"/>
      <c r="G537" s="25"/>
      <c r="H537" s="25"/>
      <c r="I537" s="25"/>
      <c r="J537" s="25"/>
      <c r="M537" s="25"/>
      <c r="N537" s="25"/>
      <c r="O537" s="25"/>
    </row>
    <row r="538" spans="3:15">
      <c r="C538" s="25"/>
      <c r="D538" s="25"/>
      <c r="E538" s="25"/>
      <c r="F538" s="25"/>
      <c r="G538" s="25"/>
      <c r="H538" s="25"/>
      <c r="I538" s="25"/>
      <c r="J538" s="25"/>
      <c r="M538" s="25"/>
      <c r="N538" s="25"/>
      <c r="O538" s="25"/>
    </row>
    <row r="539" spans="3:15">
      <c r="C539" s="25"/>
      <c r="D539" s="25"/>
      <c r="E539" s="25"/>
      <c r="F539" s="25"/>
      <c r="G539" s="25"/>
      <c r="H539" s="25"/>
      <c r="I539" s="25"/>
      <c r="J539" s="25"/>
      <c r="M539" s="25"/>
      <c r="N539" s="25"/>
      <c r="O539" s="25"/>
    </row>
    <row r="540" spans="3:15">
      <c r="C540" s="25"/>
      <c r="D540" s="25"/>
      <c r="E540" s="25"/>
      <c r="F540" s="25"/>
      <c r="G540" s="25"/>
      <c r="H540" s="25"/>
      <c r="I540" s="25"/>
      <c r="J540" s="25"/>
      <c r="M540" s="25"/>
      <c r="N540" s="25"/>
      <c r="O540" s="25"/>
    </row>
    <row r="541" spans="3:15">
      <c r="C541" s="25"/>
      <c r="D541" s="25"/>
      <c r="E541" s="25"/>
      <c r="F541" s="25"/>
      <c r="G541" s="25"/>
      <c r="H541" s="25"/>
      <c r="I541" s="25"/>
      <c r="J541" s="25"/>
      <c r="M541" s="25"/>
      <c r="N541" s="25"/>
      <c r="O541" s="25"/>
    </row>
    <row r="542" spans="3:15">
      <c r="C542" s="25"/>
      <c r="D542" s="25"/>
      <c r="E542" s="25"/>
      <c r="F542" s="25"/>
      <c r="G542" s="25"/>
      <c r="H542" s="25"/>
      <c r="I542" s="25"/>
      <c r="J542" s="25"/>
      <c r="M542" s="25"/>
      <c r="N542" s="25"/>
      <c r="O542" s="25"/>
    </row>
    <row r="543" spans="3:15">
      <c r="C543" s="25"/>
      <c r="D543" s="25"/>
      <c r="E543" s="25"/>
      <c r="F543" s="25"/>
      <c r="G543" s="25"/>
      <c r="H543" s="25"/>
      <c r="I543" s="25"/>
      <c r="J543" s="25"/>
      <c r="M543" s="25"/>
      <c r="N543" s="25"/>
      <c r="O543" s="25"/>
    </row>
    <row r="544" spans="3:15">
      <c r="C544" s="25"/>
      <c r="D544" s="25"/>
      <c r="E544" s="25"/>
      <c r="F544" s="25"/>
      <c r="G544" s="25"/>
      <c r="H544" s="25"/>
      <c r="I544" s="25"/>
      <c r="J544" s="25"/>
      <c r="M544" s="25"/>
      <c r="N544" s="25"/>
      <c r="O544" s="25"/>
    </row>
    <row r="545" spans="3:15">
      <c r="C545" s="25"/>
      <c r="D545" s="25"/>
      <c r="E545" s="25"/>
      <c r="F545" s="25"/>
      <c r="G545" s="25"/>
      <c r="H545" s="25"/>
      <c r="I545" s="25"/>
      <c r="J545" s="25"/>
      <c r="M545" s="25"/>
      <c r="N545" s="25"/>
      <c r="O545" s="25"/>
    </row>
    <row r="546" spans="3:15">
      <c r="C546" s="25"/>
      <c r="D546" s="25"/>
      <c r="E546" s="25"/>
      <c r="F546" s="25"/>
      <c r="G546" s="25"/>
      <c r="H546" s="25"/>
      <c r="I546" s="25"/>
      <c r="J546" s="25"/>
      <c r="M546" s="25"/>
      <c r="N546" s="25"/>
      <c r="O546" s="25"/>
    </row>
    <row r="547" spans="3:15">
      <c r="C547" s="25"/>
      <c r="D547" s="25"/>
      <c r="E547" s="25"/>
      <c r="F547" s="25"/>
      <c r="G547" s="25"/>
      <c r="H547" s="25"/>
      <c r="I547" s="25"/>
      <c r="J547" s="25"/>
      <c r="M547" s="25"/>
      <c r="N547" s="25"/>
      <c r="O547" s="25"/>
    </row>
    <row r="548" spans="3:15">
      <c r="C548" s="25"/>
      <c r="D548" s="25"/>
      <c r="E548" s="25"/>
      <c r="F548" s="25"/>
      <c r="G548" s="25"/>
      <c r="H548" s="25"/>
      <c r="I548" s="25"/>
      <c r="J548" s="25"/>
      <c r="M548" s="25"/>
      <c r="N548" s="25"/>
      <c r="O548" s="25"/>
    </row>
    <row r="549" spans="3:15">
      <c r="C549" s="25"/>
      <c r="D549" s="25"/>
      <c r="E549" s="25"/>
      <c r="F549" s="25"/>
      <c r="G549" s="25"/>
      <c r="H549" s="25"/>
      <c r="I549" s="25"/>
      <c r="J549" s="25"/>
      <c r="M549" s="25"/>
      <c r="N549" s="25"/>
      <c r="O549" s="25"/>
    </row>
    <row r="550" spans="3:15">
      <c r="C550" s="25"/>
      <c r="D550" s="25"/>
      <c r="E550" s="25"/>
      <c r="F550" s="25"/>
      <c r="G550" s="25"/>
      <c r="H550" s="25"/>
      <c r="I550" s="25"/>
      <c r="J550" s="25"/>
      <c r="M550" s="25"/>
      <c r="N550" s="25"/>
      <c r="O550" s="25"/>
    </row>
    <row r="551" spans="3:15">
      <c r="C551" s="25"/>
      <c r="D551" s="25"/>
      <c r="E551" s="25"/>
      <c r="F551" s="25"/>
      <c r="G551" s="25"/>
      <c r="H551" s="25"/>
      <c r="I551" s="25"/>
      <c r="J551" s="25"/>
      <c r="M551" s="25"/>
      <c r="N551" s="25"/>
      <c r="O551" s="25"/>
    </row>
    <row r="552" spans="3:15">
      <c r="C552" s="25"/>
      <c r="D552" s="25"/>
      <c r="E552" s="25"/>
      <c r="F552" s="25"/>
      <c r="G552" s="25"/>
      <c r="H552" s="25"/>
      <c r="I552" s="25"/>
      <c r="J552" s="25"/>
      <c r="M552" s="25"/>
      <c r="N552" s="25"/>
      <c r="O552" s="25"/>
    </row>
    <row r="553" spans="3:15">
      <c r="C553" s="25"/>
      <c r="D553" s="25"/>
      <c r="E553" s="25"/>
      <c r="F553" s="25"/>
      <c r="G553" s="25"/>
      <c r="H553" s="25"/>
      <c r="I553" s="25"/>
      <c r="J553" s="25"/>
      <c r="M553" s="25"/>
      <c r="N553" s="25"/>
      <c r="O553" s="25"/>
    </row>
    <row r="554" spans="3:15">
      <c r="C554" s="25"/>
      <c r="D554" s="25"/>
      <c r="E554" s="25"/>
      <c r="F554" s="25"/>
      <c r="G554" s="25"/>
      <c r="H554" s="25"/>
      <c r="I554" s="25"/>
      <c r="J554" s="25"/>
      <c r="M554" s="25"/>
      <c r="N554" s="25"/>
      <c r="O554" s="25"/>
    </row>
    <row r="555" spans="3:15">
      <c r="C555" s="25"/>
      <c r="D555" s="25"/>
      <c r="E555" s="25"/>
      <c r="F555" s="25"/>
      <c r="G555" s="25"/>
      <c r="H555" s="25"/>
      <c r="I555" s="25"/>
      <c r="J555" s="25"/>
      <c r="M555" s="25"/>
      <c r="N555" s="25"/>
      <c r="O555" s="25"/>
    </row>
    <row r="556" spans="3:15">
      <c r="C556" s="25"/>
      <c r="D556" s="25"/>
      <c r="E556" s="25"/>
      <c r="F556" s="25"/>
      <c r="G556" s="25"/>
      <c r="H556" s="25"/>
      <c r="I556" s="25"/>
      <c r="J556" s="25"/>
      <c r="M556" s="25"/>
      <c r="N556" s="25"/>
      <c r="O556" s="25"/>
    </row>
    <row r="557" spans="3:15">
      <c r="C557" s="25"/>
      <c r="D557" s="25"/>
      <c r="E557" s="25"/>
      <c r="F557" s="25"/>
      <c r="G557" s="25"/>
      <c r="H557" s="25"/>
      <c r="I557" s="25"/>
      <c r="J557" s="25"/>
      <c r="M557" s="25"/>
      <c r="N557" s="25"/>
      <c r="O557" s="25"/>
    </row>
    <row r="558" spans="3:15">
      <c r="C558" s="25"/>
      <c r="D558" s="25"/>
      <c r="E558" s="25"/>
      <c r="F558" s="25"/>
      <c r="G558" s="25"/>
      <c r="H558" s="25"/>
      <c r="I558" s="25"/>
      <c r="J558" s="25"/>
      <c r="M558" s="25"/>
      <c r="N558" s="25"/>
      <c r="O558" s="25"/>
    </row>
    <row r="559" spans="3:15">
      <c r="C559" s="25"/>
      <c r="D559" s="25"/>
      <c r="E559" s="25"/>
      <c r="F559" s="25"/>
      <c r="G559" s="25"/>
      <c r="H559" s="25"/>
      <c r="I559" s="25"/>
      <c r="J559" s="25"/>
      <c r="M559" s="25"/>
      <c r="N559" s="25"/>
      <c r="O559" s="25"/>
    </row>
    <row r="560" spans="3:15">
      <c r="C560" s="25"/>
      <c r="D560" s="25"/>
      <c r="E560" s="25"/>
      <c r="F560" s="25"/>
      <c r="G560" s="25"/>
      <c r="H560" s="25"/>
      <c r="I560" s="25"/>
      <c r="J560" s="25"/>
      <c r="M560" s="25"/>
      <c r="N560" s="25"/>
      <c r="O560" s="25"/>
    </row>
    <row r="561" spans="3:15">
      <c r="C561" s="25"/>
      <c r="D561" s="25"/>
      <c r="E561" s="25"/>
      <c r="F561" s="25"/>
      <c r="G561" s="25"/>
      <c r="H561" s="25"/>
      <c r="I561" s="25"/>
      <c r="J561" s="25"/>
      <c r="M561" s="25"/>
      <c r="N561" s="25"/>
      <c r="O561" s="25"/>
    </row>
    <row r="562" spans="3:15">
      <c r="C562" s="25"/>
      <c r="D562" s="25"/>
      <c r="E562" s="25"/>
      <c r="F562" s="25"/>
      <c r="G562" s="25"/>
      <c r="H562" s="25"/>
      <c r="I562" s="25"/>
      <c r="J562" s="25"/>
      <c r="M562" s="25"/>
      <c r="N562" s="25"/>
      <c r="O562" s="25"/>
    </row>
    <row r="563" spans="3:15">
      <c r="C563" s="25"/>
      <c r="D563" s="25"/>
      <c r="E563" s="25"/>
      <c r="F563" s="25"/>
      <c r="G563" s="25"/>
      <c r="H563" s="25"/>
      <c r="I563" s="25"/>
      <c r="J563" s="25"/>
      <c r="M563" s="25"/>
      <c r="N563" s="25"/>
      <c r="O563" s="25"/>
    </row>
    <row r="564" spans="3:15">
      <c r="C564" s="25"/>
      <c r="D564" s="25"/>
      <c r="E564" s="25"/>
      <c r="F564" s="25"/>
      <c r="G564" s="25"/>
      <c r="H564" s="25"/>
      <c r="I564" s="25"/>
      <c r="J564" s="25"/>
      <c r="M564" s="25"/>
      <c r="N564" s="25"/>
      <c r="O564" s="25"/>
    </row>
    <row r="565" spans="3:15">
      <c r="C565" s="25"/>
      <c r="D565" s="25"/>
      <c r="E565" s="25"/>
      <c r="F565" s="25"/>
      <c r="G565" s="25"/>
      <c r="H565" s="25"/>
      <c r="I565" s="25"/>
      <c r="J565" s="25"/>
      <c r="M565" s="25"/>
      <c r="N565" s="25"/>
      <c r="O565" s="25"/>
    </row>
    <row r="566" spans="3:15">
      <c r="C566" s="25"/>
      <c r="D566" s="25"/>
      <c r="E566" s="25"/>
      <c r="F566" s="25"/>
      <c r="G566" s="25"/>
      <c r="H566" s="25"/>
      <c r="I566" s="25"/>
      <c r="J566" s="25"/>
      <c r="M566" s="25"/>
      <c r="N566" s="25"/>
      <c r="O566" s="25"/>
    </row>
    <row r="567" spans="3:15">
      <c r="C567" s="25"/>
      <c r="D567" s="25"/>
      <c r="E567" s="25"/>
      <c r="F567" s="25"/>
      <c r="G567" s="25"/>
      <c r="H567" s="25"/>
      <c r="I567" s="25"/>
      <c r="J567" s="25"/>
      <c r="M567" s="25"/>
      <c r="N567" s="25"/>
      <c r="O567" s="25"/>
    </row>
    <row r="568" spans="3:15">
      <c r="C568" s="25"/>
      <c r="D568" s="25"/>
      <c r="E568" s="25"/>
      <c r="F568" s="25"/>
      <c r="G568" s="25"/>
      <c r="H568" s="25"/>
      <c r="I568" s="25"/>
      <c r="J568" s="25"/>
      <c r="M568" s="25"/>
      <c r="N568" s="25"/>
      <c r="O568" s="25"/>
    </row>
    <row r="569" spans="3:15">
      <c r="C569" s="25"/>
      <c r="D569" s="25"/>
      <c r="E569" s="25"/>
      <c r="F569" s="25"/>
      <c r="G569" s="25"/>
      <c r="H569" s="25"/>
      <c r="I569" s="25"/>
      <c r="J569" s="25"/>
      <c r="M569" s="25"/>
      <c r="N569" s="25"/>
      <c r="O569" s="25"/>
    </row>
    <row r="570" spans="3:15">
      <c r="C570" s="25"/>
      <c r="D570" s="25"/>
      <c r="E570" s="25"/>
      <c r="F570" s="25"/>
      <c r="G570" s="25"/>
      <c r="H570" s="25"/>
      <c r="I570" s="25"/>
      <c r="J570" s="25"/>
      <c r="M570" s="25"/>
      <c r="N570" s="25"/>
      <c r="O570" s="25"/>
    </row>
    <row r="571" spans="3:15">
      <c r="C571" s="25"/>
      <c r="D571" s="25"/>
      <c r="E571" s="25"/>
      <c r="F571" s="25"/>
      <c r="G571" s="25"/>
      <c r="H571" s="25"/>
      <c r="I571" s="25"/>
      <c r="J571" s="25"/>
      <c r="M571" s="25"/>
      <c r="N571" s="25"/>
      <c r="O571" s="25"/>
    </row>
    <row r="572" spans="3:15">
      <c r="C572" s="25"/>
      <c r="D572" s="25"/>
      <c r="E572" s="25"/>
      <c r="F572" s="25"/>
      <c r="G572" s="25"/>
      <c r="H572" s="25"/>
      <c r="I572" s="25"/>
      <c r="J572" s="25"/>
      <c r="M572" s="25"/>
      <c r="N572" s="25"/>
      <c r="O572" s="25"/>
    </row>
    <row r="573" spans="3:15">
      <c r="C573" s="25"/>
      <c r="D573" s="25"/>
      <c r="E573" s="25"/>
      <c r="F573" s="25"/>
      <c r="G573" s="25"/>
      <c r="H573" s="25"/>
      <c r="I573" s="25"/>
      <c r="J573" s="25"/>
      <c r="M573" s="25"/>
      <c r="N573" s="25"/>
      <c r="O573" s="25"/>
    </row>
    <row r="574" spans="3:15">
      <c r="C574" s="25"/>
      <c r="D574" s="25"/>
      <c r="E574" s="25"/>
      <c r="F574" s="25"/>
      <c r="G574" s="25"/>
      <c r="H574" s="25"/>
      <c r="I574" s="25"/>
      <c r="J574" s="25"/>
      <c r="M574" s="25"/>
      <c r="N574" s="25"/>
      <c r="O574" s="25"/>
    </row>
    <row r="575" spans="3:15">
      <c r="C575" s="25"/>
      <c r="D575" s="25"/>
      <c r="E575" s="25"/>
      <c r="F575" s="25"/>
      <c r="G575" s="25"/>
      <c r="H575" s="25"/>
      <c r="I575" s="25"/>
      <c r="J575" s="25"/>
      <c r="M575" s="25"/>
      <c r="N575" s="25"/>
      <c r="O575" s="25"/>
    </row>
    <row r="576" spans="3:15">
      <c r="C576" s="25"/>
      <c r="D576" s="25"/>
      <c r="E576" s="25"/>
      <c r="F576" s="25"/>
      <c r="G576" s="25"/>
      <c r="H576" s="25"/>
      <c r="I576" s="25"/>
      <c r="J576" s="25"/>
      <c r="M576" s="25"/>
      <c r="N576" s="25"/>
      <c r="O576" s="25"/>
    </row>
    <row r="577" spans="3:15">
      <c r="C577" s="25"/>
      <c r="D577" s="25"/>
      <c r="E577" s="25"/>
      <c r="F577" s="25"/>
      <c r="G577" s="25"/>
      <c r="H577" s="25"/>
      <c r="I577" s="25"/>
      <c r="J577" s="25"/>
      <c r="M577" s="25"/>
      <c r="N577" s="25"/>
      <c r="O577" s="25"/>
    </row>
    <row r="578" spans="3:15">
      <c r="C578" s="25"/>
      <c r="D578" s="25"/>
      <c r="E578" s="25"/>
      <c r="F578" s="25"/>
      <c r="G578" s="25"/>
      <c r="H578" s="25"/>
      <c r="I578" s="25"/>
      <c r="J578" s="25"/>
      <c r="M578" s="25"/>
      <c r="N578" s="25"/>
      <c r="O578" s="25"/>
    </row>
    <row r="579" spans="3:15">
      <c r="C579" s="25"/>
      <c r="D579" s="25"/>
      <c r="E579" s="25"/>
      <c r="F579" s="25"/>
      <c r="G579" s="25"/>
      <c r="H579" s="25"/>
      <c r="I579" s="25"/>
      <c r="J579" s="25"/>
      <c r="M579" s="25"/>
      <c r="N579" s="25"/>
      <c r="O579" s="25"/>
    </row>
    <row r="580" spans="3:15">
      <c r="C580" s="25"/>
      <c r="D580" s="25"/>
      <c r="E580" s="25"/>
      <c r="F580" s="25"/>
      <c r="G580" s="25"/>
      <c r="H580" s="25"/>
      <c r="I580" s="25"/>
      <c r="J580" s="25"/>
      <c r="M580" s="25"/>
      <c r="N580" s="25"/>
      <c r="O580" s="25"/>
    </row>
    <row r="581" spans="3:15">
      <c r="C581" s="25"/>
      <c r="D581" s="25"/>
      <c r="E581" s="25"/>
      <c r="F581" s="25"/>
      <c r="G581" s="25"/>
      <c r="H581" s="25"/>
      <c r="I581" s="25"/>
      <c r="J581" s="25"/>
      <c r="M581" s="25"/>
      <c r="N581" s="25"/>
      <c r="O581" s="25"/>
    </row>
    <row r="582" spans="3:15">
      <c r="C582" s="25"/>
      <c r="D582" s="25"/>
      <c r="E582" s="25"/>
      <c r="F582" s="25"/>
      <c r="G582" s="25"/>
      <c r="H582" s="25"/>
      <c r="I582" s="25"/>
      <c r="J582" s="25"/>
      <c r="M582" s="25"/>
      <c r="N582" s="25"/>
      <c r="O582" s="25"/>
    </row>
    <row r="583" spans="3:15">
      <c r="C583" s="25"/>
      <c r="D583" s="25"/>
      <c r="E583" s="25"/>
      <c r="F583" s="25"/>
      <c r="G583" s="25"/>
      <c r="H583" s="25"/>
      <c r="I583" s="25"/>
      <c r="J583" s="25"/>
      <c r="M583" s="25"/>
      <c r="N583" s="25"/>
      <c r="O583" s="25"/>
    </row>
    <row r="584" spans="3:15">
      <c r="C584" s="25"/>
      <c r="D584" s="25"/>
      <c r="E584" s="25"/>
      <c r="F584" s="25"/>
      <c r="G584" s="25"/>
      <c r="H584" s="25"/>
      <c r="I584" s="25"/>
      <c r="J584" s="25"/>
      <c r="M584" s="25"/>
      <c r="N584" s="25"/>
      <c r="O584" s="25"/>
    </row>
    <row r="585" spans="3:15">
      <c r="C585" s="25"/>
      <c r="D585" s="25"/>
      <c r="E585" s="25"/>
      <c r="F585" s="25"/>
      <c r="G585" s="25"/>
      <c r="H585" s="25"/>
      <c r="I585" s="25"/>
      <c r="J585" s="25"/>
      <c r="M585" s="25"/>
      <c r="N585" s="25"/>
      <c r="O585" s="25"/>
    </row>
    <row r="586" spans="3:15">
      <c r="C586" s="25"/>
      <c r="D586" s="25"/>
      <c r="E586" s="25"/>
      <c r="F586" s="25"/>
      <c r="G586" s="25"/>
      <c r="H586" s="25"/>
      <c r="I586" s="25"/>
      <c r="J586" s="25"/>
      <c r="M586" s="25"/>
      <c r="N586" s="25"/>
      <c r="O586" s="25"/>
    </row>
    <row r="587" spans="3:15">
      <c r="C587" s="25"/>
      <c r="D587" s="25"/>
      <c r="E587" s="25"/>
      <c r="F587" s="25"/>
      <c r="G587" s="25"/>
      <c r="H587" s="25"/>
      <c r="I587" s="25"/>
      <c r="J587" s="25"/>
      <c r="M587" s="25"/>
      <c r="N587" s="25"/>
      <c r="O587" s="25"/>
    </row>
    <row r="588" spans="3:15">
      <c r="C588" s="25"/>
      <c r="D588" s="25"/>
      <c r="E588" s="25"/>
      <c r="F588" s="25"/>
      <c r="G588" s="25"/>
      <c r="H588" s="25"/>
      <c r="I588" s="25"/>
      <c r="J588" s="25"/>
      <c r="M588" s="25"/>
      <c r="N588" s="25"/>
      <c r="O588" s="25"/>
    </row>
    <row r="589" spans="3:15">
      <c r="C589" s="25"/>
      <c r="D589" s="25"/>
      <c r="E589" s="25"/>
      <c r="F589" s="25"/>
      <c r="G589" s="25"/>
      <c r="H589" s="25"/>
      <c r="I589" s="25"/>
      <c r="J589" s="25"/>
      <c r="M589" s="25"/>
      <c r="N589" s="25"/>
      <c r="O589" s="25"/>
    </row>
    <row r="590" spans="3:15">
      <c r="C590" s="25"/>
      <c r="D590" s="25"/>
      <c r="E590" s="25"/>
      <c r="F590" s="25"/>
      <c r="G590" s="25"/>
      <c r="H590" s="25"/>
      <c r="I590" s="25"/>
      <c r="J590" s="25"/>
      <c r="M590" s="25"/>
      <c r="N590" s="25"/>
      <c r="O590" s="25"/>
    </row>
    <row r="591" spans="3:15">
      <c r="C591" s="25"/>
      <c r="D591" s="25"/>
      <c r="E591" s="25"/>
      <c r="F591" s="25"/>
      <c r="G591" s="25"/>
      <c r="H591" s="25"/>
      <c r="I591" s="25"/>
      <c r="J591" s="25"/>
      <c r="M591" s="25"/>
      <c r="N591" s="25"/>
      <c r="O591" s="25"/>
    </row>
    <row r="592" spans="3:15">
      <c r="C592" s="25"/>
      <c r="D592" s="25"/>
      <c r="E592" s="25"/>
      <c r="F592" s="25"/>
      <c r="G592" s="25"/>
      <c r="H592" s="25"/>
      <c r="I592" s="25"/>
      <c r="J592" s="25"/>
      <c r="M592" s="25"/>
      <c r="N592" s="25"/>
      <c r="O592" s="25"/>
    </row>
    <row r="593" spans="3:15">
      <c r="C593" s="25"/>
      <c r="D593" s="25"/>
      <c r="E593" s="25"/>
      <c r="F593" s="25"/>
      <c r="G593" s="25"/>
      <c r="H593" s="25"/>
      <c r="I593" s="25"/>
      <c r="J593" s="25"/>
      <c r="M593" s="25"/>
      <c r="N593" s="25"/>
      <c r="O593" s="25"/>
    </row>
    <row r="594" spans="3:15">
      <c r="C594" s="25"/>
      <c r="D594" s="25"/>
      <c r="E594" s="25"/>
      <c r="F594" s="25"/>
      <c r="G594" s="25"/>
      <c r="H594" s="25"/>
      <c r="I594" s="25"/>
      <c r="J594" s="25"/>
      <c r="M594" s="25"/>
      <c r="N594" s="25"/>
      <c r="O594" s="25"/>
    </row>
    <row r="595" spans="3:15">
      <c r="C595" s="25"/>
      <c r="D595" s="25"/>
      <c r="E595" s="25"/>
      <c r="F595" s="25"/>
      <c r="G595" s="25"/>
      <c r="H595" s="25"/>
      <c r="I595" s="25"/>
      <c r="J595" s="25"/>
      <c r="M595" s="25"/>
      <c r="N595" s="25"/>
      <c r="O595" s="25"/>
    </row>
    <row r="596" spans="3:15">
      <c r="C596" s="25"/>
      <c r="D596" s="25"/>
      <c r="E596" s="25"/>
      <c r="F596" s="25"/>
      <c r="G596" s="25"/>
      <c r="H596" s="25"/>
      <c r="I596" s="25"/>
      <c r="J596" s="25"/>
      <c r="M596" s="25"/>
      <c r="N596" s="25"/>
      <c r="O596" s="25"/>
    </row>
    <row r="597" spans="3:15">
      <c r="C597" s="25"/>
      <c r="D597" s="25"/>
      <c r="E597" s="25"/>
      <c r="F597" s="25"/>
      <c r="G597" s="25"/>
      <c r="H597" s="25"/>
      <c r="I597" s="25"/>
      <c r="J597" s="25"/>
      <c r="M597" s="25"/>
      <c r="N597" s="25"/>
      <c r="O597" s="25"/>
    </row>
    <row r="598" spans="3:15">
      <c r="C598" s="25"/>
      <c r="D598" s="25"/>
      <c r="E598" s="25"/>
      <c r="F598" s="25"/>
      <c r="G598" s="25"/>
      <c r="H598" s="25"/>
      <c r="I598" s="25"/>
      <c r="J598" s="25"/>
      <c r="M598" s="25"/>
      <c r="N598" s="25"/>
      <c r="O598" s="25"/>
    </row>
    <row r="599" spans="3:15">
      <c r="C599" s="25"/>
      <c r="D599" s="25"/>
      <c r="E599" s="25"/>
      <c r="F599" s="25"/>
      <c r="G599" s="25"/>
      <c r="H599" s="25"/>
      <c r="I599" s="25"/>
      <c r="J599" s="25"/>
      <c r="M599" s="25"/>
      <c r="N599" s="25"/>
      <c r="O599" s="25"/>
    </row>
    <row r="600" spans="3:15">
      <c r="C600" s="25"/>
      <c r="D600" s="25"/>
      <c r="E600" s="25"/>
      <c r="F600" s="25"/>
      <c r="G600" s="25"/>
      <c r="H600" s="25"/>
      <c r="I600" s="25"/>
      <c r="J600" s="25"/>
      <c r="M600" s="25"/>
      <c r="N600" s="25"/>
      <c r="O600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 A</cp:lastModifiedBy>
  <cp:lastPrinted>2012-06-27T21:37:14Z</cp:lastPrinted>
  <dcterms:created xsi:type="dcterms:W3CDTF">2011-11-04T21:28:06Z</dcterms:created>
  <dcterms:modified xsi:type="dcterms:W3CDTF">2026-01-28T06:28:50Z</dcterms:modified>
</cp:coreProperties>
</file>