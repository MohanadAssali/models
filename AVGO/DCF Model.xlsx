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A590673-5F7A-4C0A-8D8B-168E67AD00A7}" xr6:coauthVersionLast="47" xr6:coauthVersionMax="47" xr10:uidLastSave="{00000000-0000-0000-0000-000000000000}"/>
  <bookViews>
    <workbookView xWindow="-120" yWindow="-120" windowWidth="29040" windowHeight="15720" xr2:uid="{8F5191C8-47CB-4EE2-A5A1-3D33F0C78E9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1" l="1"/>
  <c r="I30" i="1"/>
  <c r="H30" i="1"/>
  <c r="K30" i="1"/>
  <c r="J27" i="1"/>
  <c r="J35" i="1" s="1"/>
  <c r="I27" i="1"/>
  <c r="I28" i="1" s="1"/>
  <c r="H27" i="1"/>
  <c r="H28" i="1" s="1"/>
  <c r="K27" i="1"/>
  <c r="K35" i="1" s="1"/>
  <c r="J24" i="1"/>
  <c r="J25" i="1" s="1"/>
  <c r="I24" i="1"/>
  <c r="I25" i="1" s="1"/>
  <c r="H24" i="1"/>
  <c r="G24" i="1"/>
  <c r="K24" i="1"/>
  <c r="K34" i="1" s="1"/>
  <c r="J17" i="1"/>
  <c r="I17" i="1"/>
  <c r="H17" i="1"/>
  <c r="G17" i="1"/>
  <c r="K17" i="1"/>
  <c r="L42" i="1"/>
  <c r="M42" i="1"/>
  <c r="N42" i="1"/>
  <c r="O42" i="1"/>
  <c r="L40" i="1"/>
  <c r="M40" i="1" s="1"/>
  <c r="R33" i="1"/>
  <c r="H34" i="1"/>
  <c r="G12" i="1"/>
  <c r="G15" i="1"/>
  <c r="H15" i="1"/>
  <c r="I15" i="1"/>
  <c r="J15" i="1"/>
  <c r="K15" i="1"/>
  <c r="H12" i="1"/>
  <c r="I12" i="1"/>
  <c r="J12" i="1"/>
  <c r="K12" i="1"/>
  <c r="M41" i="1" l="1"/>
  <c r="L41" i="1"/>
  <c r="L43" i="1" s="1"/>
  <c r="N40" i="1"/>
  <c r="N41" i="1" s="1"/>
  <c r="K31" i="1"/>
  <c r="H31" i="1"/>
  <c r="I36" i="1"/>
  <c r="K25" i="1"/>
  <c r="G21" i="1"/>
  <c r="K28" i="1"/>
  <c r="J28" i="1"/>
  <c r="H35" i="1"/>
  <c r="I34" i="1"/>
  <c r="J34" i="1"/>
  <c r="H25" i="1"/>
  <c r="I35" i="1"/>
  <c r="G25" i="1"/>
  <c r="K21" i="1"/>
  <c r="O40" i="1" l="1"/>
  <c r="O41" i="1" s="1"/>
  <c r="O43" i="1" s="1"/>
  <c r="M43" i="1"/>
  <c r="H36" i="1"/>
  <c r="I31" i="1"/>
  <c r="G22" i="1"/>
  <c r="G18" i="1"/>
  <c r="K33" i="1"/>
  <c r="K22" i="1"/>
  <c r="H21" i="1"/>
  <c r="K36" i="1"/>
  <c r="I21" i="1"/>
  <c r="I18" i="1"/>
  <c r="J31" i="1"/>
  <c r="J36" i="1"/>
  <c r="K18" i="1"/>
  <c r="O44" i="1" l="1"/>
  <c r="O45" i="1" s="1"/>
  <c r="N43" i="1"/>
  <c r="H18" i="1"/>
  <c r="J21" i="1"/>
  <c r="J18" i="1"/>
  <c r="H22" i="1"/>
  <c r="H33" i="1"/>
  <c r="H37" i="1" s="1"/>
  <c r="K37" i="1"/>
  <c r="I33" i="1"/>
  <c r="I37" i="1" s="1"/>
  <c r="I22" i="1"/>
  <c r="J33" i="1" l="1"/>
  <c r="J37" i="1" s="1"/>
  <c r="J22" i="1"/>
  <c r="O46" i="1" l="1"/>
</calcChain>
</file>

<file path=xl/sharedStrings.xml><?xml version="1.0" encoding="utf-8"?>
<sst xmlns="http://schemas.openxmlformats.org/spreadsheetml/2006/main" count="91" uniqueCount="72">
  <si>
    <t>Cash</t>
  </si>
  <si>
    <t>EV</t>
  </si>
  <si>
    <t>$millions</t>
  </si>
  <si>
    <t>Revenue</t>
  </si>
  <si>
    <t>FY2022</t>
  </si>
  <si>
    <t>FY2024</t>
  </si>
  <si>
    <t>FY2025</t>
  </si>
  <si>
    <t>FY2026</t>
  </si>
  <si>
    <t>projections</t>
  </si>
  <si>
    <t>Taxes</t>
  </si>
  <si>
    <t>FY2023</t>
  </si>
  <si>
    <t>PP&amp;E</t>
  </si>
  <si>
    <t>Amortization</t>
  </si>
  <si>
    <t>Depreciation</t>
  </si>
  <si>
    <t>WC</t>
  </si>
  <si>
    <t>CFFO</t>
  </si>
  <si>
    <t>DCF Model</t>
  </si>
  <si>
    <t>FY2027</t>
  </si>
  <si>
    <t>FY2028</t>
  </si>
  <si>
    <t>FY2029</t>
  </si>
  <si>
    <t>EBITDA</t>
  </si>
  <si>
    <t>EBIAT(NOPAT)</t>
  </si>
  <si>
    <t>%Sales</t>
  </si>
  <si>
    <t>Income statement</t>
  </si>
  <si>
    <t>Cash flow statement</t>
  </si>
  <si>
    <t>%Taxes</t>
  </si>
  <si>
    <t>%EBITDA</t>
  </si>
  <si>
    <t>%Revenue</t>
  </si>
  <si>
    <t>Discounted Cash Flow</t>
  </si>
  <si>
    <t>EBIAT</t>
  </si>
  <si>
    <t>D&amp;A</t>
  </si>
  <si>
    <t>Change in WC</t>
  </si>
  <si>
    <t>FCF</t>
  </si>
  <si>
    <t>Capex</t>
  </si>
  <si>
    <t>Discount period</t>
  </si>
  <si>
    <t>Discounted TV</t>
  </si>
  <si>
    <t>FY2021</t>
  </si>
  <si>
    <t>FY2020</t>
  </si>
  <si>
    <t>EBIT</t>
  </si>
  <si>
    <t xml:space="preserve"> D&amp;A</t>
  </si>
  <si>
    <t>Changes in WC</t>
  </si>
  <si>
    <t>Negative ΔWC → cash inflow (WC decreased) → increases FCFF -----   Positive ΔWC → cash outflow → decreases FCF ---- These numbers make sense for a growing company: bigger negative numbers in later years as WC grows.</t>
  </si>
  <si>
    <t>-</t>
  </si>
  <si>
    <t>+</t>
  </si>
  <si>
    <t xml:space="preserve">assuming revenue growth by 20% </t>
  </si>
  <si>
    <t>Forecasted Revenue</t>
  </si>
  <si>
    <t>NOPAT Margin</t>
  </si>
  <si>
    <t>Undiscounted FCF</t>
  </si>
  <si>
    <t>discounted FCF</t>
  </si>
  <si>
    <t>FCF Margin</t>
  </si>
  <si>
    <t>Discount Factor</t>
  </si>
  <si>
    <t xml:space="preserve">Terminal Value </t>
  </si>
  <si>
    <t>Intristic Value of stock</t>
  </si>
  <si>
    <t>EBITDA-Depreciation-Amortization</t>
  </si>
  <si>
    <t>assume it's 25% based on industry standards</t>
  </si>
  <si>
    <t>D&amp;A/Revenue</t>
  </si>
  <si>
    <t>EBIT*(1-%T)</t>
  </si>
  <si>
    <t>EBIT * %T</t>
  </si>
  <si>
    <t>from IS</t>
  </si>
  <si>
    <t>EBITDA/Revenue</t>
  </si>
  <si>
    <t>(Current Rev-Previous Rev) - 1</t>
  </si>
  <si>
    <t>NOPAT/Revenue</t>
  </si>
  <si>
    <t>Capex/Revenue</t>
  </si>
  <si>
    <t>Current PPE-Prev PPE + Depreciation</t>
  </si>
  <si>
    <t>Changes WC/Revenue</t>
  </si>
  <si>
    <t>use Y2026</t>
  </si>
  <si>
    <t>Intrinsic Stock price</t>
  </si>
  <si>
    <t>g</t>
  </si>
  <si>
    <t>WAAC</t>
  </si>
  <si>
    <t>Rev Growth</t>
  </si>
  <si>
    <t>Assumptions Table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</si>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</sst>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3" fontId="1" fillId="0" borderId="0" xfId="0" applyNumberFormat="1" applyFont="1"/>
    <xf numFmtId="4" fontId="0" fillId="0" borderId="0" xfId="0" applyNumberFormat="1"/>
    <xf numFmtId="0" fontId="1" fillId="2" borderId="0" xfId="0" applyFont="1" applyFill="1"/>
    <xf numFmtId="165" fontId="0" fillId="0" borderId="0" xfId="0" applyNumberFormat="1"/>
    <xf numFmtId="164" fontId="0" fillId="3" borderId="0" xfId="0" applyNumberForma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680357</xdr:colOff>
      <xdr:row>0</xdr:row>
      <xdr:rowOff>0</xdr:rowOff>
    </xdr:from>
    <xdr:to>
      <xdr:col>11</xdr:col>
      <xdr:colOff>0</xdr:colOff>
      <xdr:row>52</xdr:row>
      <xdr:rowOff>184668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6106E9C-B42E-FF16-9311-85A1530F5D79}"/>
            </a:ext>
          </a:extLst>
        </xdr:cNvPr>
        <xdr:cNvCxnSpPr/>
      </xdr:nvCxnSpPr>
      <xdr:spPr>
        <a:xfrm flipH="1">
          <a:off x="7561684" y="0"/>
          <a:ext cx="9719" cy="1087599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CA69-3647-4E1C-B8CB-F8563FF972AE}">
  <dimension ref="A4:X54"/>
  <sheetViews>
    <sheetView tabSelected="1" topLeftCell="A25" zoomScale="98" zoomScaleNormal="98" workbookViewId="0">
      <selection activeCell="T46" sqref="T46"/>
    </sheetView>
  </sheetViews>
  <sheetFormatPr defaultRowHeight="15" x14ac:dyDescent="0.25"/>
  <cols>
    <col min="3" max="3" width="11" customWidth="1"/>
    <col min="5" max="5" width="9.85546875" customWidth="1"/>
    <col min="6" max="6" width="10.28515625" customWidth="1"/>
    <col min="7" max="7" width="11.7109375" customWidth="1"/>
    <col min="8" max="8" width="11.42578125" customWidth="1"/>
    <col min="9" max="9" width="11.140625" customWidth="1"/>
    <col min="10" max="10" width="10.28515625" customWidth="1"/>
    <col min="11" max="11" width="10.28515625" bestFit="1" customWidth="1"/>
    <col min="12" max="12" width="11.28515625" bestFit="1" customWidth="1"/>
    <col min="13" max="15" width="11.28515625" customWidth="1"/>
    <col min="16" max="16" width="11.28515625" bestFit="1" customWidth="1"/>
    <col min="17" max="18" width="11.5703125" customWidth="1"/>
    <col min="19" max="19" width="10.28515625" bestFit="1" customWidth="1"/>
    <col min="21" max="21" width="9.85546875" customWidth="1"/>
    <col min="22" max="22" width="11" customWidth="1"/>
  </cols>
  <sheetData>
    <row r="4" spans="1:24" x14ac:dyDescent="0.25">
      <c r="A4" s="5"/>
      <c r="B4" s="5"/>
      <c r="C4" s="5"/>
      <c r="D4" s="5"/>
      <c r="E4" s="5"/>
      <c r="F4" s="5"/>
      <c r="G4" s="5"/>
      <c r="H4" s="10" t="s">
        <v>16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4" x14ac:dyDescent="0.25">
      <c r="A5" s="4"/>
    </row>
    <row r="6" spans="1:24" x14ac:dyDescent="0.25">
      <c r="A6" s="4"/>
      <c r="Q6" s="5" t="s">
        <v>71</v>
      </c>
      <c r="R6" s="5"/>
      <c r="S6" s="5"/>
      <c r="T6" s="5"/>
      <c r="U6" s="5"/>
      <c r="V6" s="5"/>
      <c r="W6" s="5"/>
    </row>
    <row r="7" spans="1:24" x14ac:dyDescent="0.25">
      <c r="A7" s="4"/>
      <c r="C7" t="s">
        <v>2</v>
      </c>
      <c r="F7" t="s">
        <v>37</v>
      </c>
      <c r="G7" t="s">
        <v>36</v>
      </c>
      <c r="H7" t="s">
        <v>4</v>
      </c>
      <c r="I7" t="s">
        <v>10</v>
      </c>
      <c r="J7" t="s">
        <v>5</v>
      </c>
      <c r="K7" t="s">
        <v>6</v>
      </c>
      <c r="L7" t="s">
        <v>7</v>
      </c>
      <c r="M7" t="s">
        <v>17</v>
      </c>
      <c r="N7" s="1" t="s">
        <v>18</v>
      </c>
      <c r="O7" t="s">
        <v>19</v>
      </c>
      <c r="W7" t="s">
        <v>8</v>
      </c>
    </row>
    <row r="8" spans="1:24" x14ac:dyDescent="0.25">
      <c r="E8" s="2"/>
      <c r="F8" s="2"/>
      <c r="G8" s="2">
        <v>44500</v>
      </c>
      <c r="H8" s="2">
        <v>44864</v>
      </c>
      <c r="I8" s="2">
        <v>45228</v>
      </c>
      <c r="J8" s="2">
        <v>45599</v>
      </c>
      <c r="K8" s="2">
        <v>45963</v>
      </c>
      <c r="O8" s="1"/>
      <c r="Q8" t="s">
        <v>37</v>
      </c>
      <c r="R8" t="s">
        <v>36</v>
      </c>
      <c r="S8" t="s">
        <v>4</v>
      </c>
      <c r="T8" t="s">
        <v>10</v>
      </c>
      <c r="U8" t="s">
        <v>5</v>
      </c>
      <c r="V8" t="s">
        <v>6</v>
      </c>
      <c r="W8" t="s">
        <v>7</v>
      </c>
    </row>
    <row r="10" spans="1:24" x14ac:dyDescent="0.25">
      <c r="A10" s="4"/>
      <c r="L10" t="s">
        <v>44</v>
      </c>
      <c r="Q10" t="s">
        <v>20</v>
      </c>
      <c r="S10">
        <v>1890</v>
      </c>
      <c r="T10">
        <v>18646</v>
      </c>
      <c r="U10">
        <v>19702</v>
      </c>
      <c r="V10">
        <v>27500</v>
      </c>
      <c r="W10">
        <v>39203</v>
      </c>
    </row>
    <row r="11" spans="1:24" x14ac:dyDescent="0.25">
      <c r="A11" s="4" t="s">
        <v>23</v>
      </c>
      <c r="C11" t="s">
        <v>3</v>
      </c>
      <c r="F11" s="1">
        <v>23888</v>
      </c>
      <c r="G11" s="1">
        <v>27450</v>
      </c>
      <c r="H11" s="1">
        <v>33203</v>
      </c>
      <c r="I11" s="1">
        <v>35819</v>
      </c>
      <c r="J11" s="1">
        <v>51574</v>
      </c>
      <c r="K11" s="1">
        <v>63887</v>
      </c>
      <c r="L11" t="s">
        <v>58</v>
      </c>
      <c r="Q11" t="s">
        <v>11</v>
      </c>
      <c r="S11">
        <v>2348</v>
      </c>
      <c r="T11">
        <v>2223</v>
      </c>
      <c r="U11">
        <v>2154</v>
      </c>
      <c r="V11">
        <v>2521</v>
      </c>
      <c r="W11">
        <v>2530</v>
      </c>
    </row>
    <row r="12" spans="1:24" x14ac:dyDescent="0.25">
      <c r="C12" t="s">
        <v>27</v>
      </c>
      <c r="G12" s="3">
        <f>G11/F11-1</f>
        <v>0.14911252511721362</v>
      </c>
      <c r="H12" s="3">
        <f>H11/G11-1</f>
        <v>0.20958105646630232</v>
      </c>
      <c r="I12" s="3">
        <f>I11/H11-1</f>
        <v>7.8788061319760239E-2</v>
      </c>
      <c r="J12" s="3">
        <f>J11/I11-1</f>
        <v>0.43985035874815037</v>
      </c>
      <c r="K12" s="3">
        <f>K11/J11-1</f>
        <v>0.23874432853763516</v>
      </c>
      <c r="L12" t="s">
        <v>60</v>
      </c>
      <c r="Q12" t="s">
        <v>12</v>
      </c>
      <c r="S12" s="1">
        <v>5502</v>
      </c>
      <c r="T12" s="1">
        <v>4455</v>
      </c>
      <c r="U12" s="1">
        <v>3333</v>
      </c>
      <c r="V12" s="1">
        <v>9417</v>
      </c>
      <c r="W12" s="1">
        <v>8210</v>
      </c>
    </row>
    <row r="13" spans="1:24" x14ac:dyDescent="0.25">
      <c r="Q13" t="s">
        <v>13</v>
      </c>
      <c r="S13" s="1">
        <v>539</v>
      </c>
      <c r="T13" s="1">
        <v>529</v>
      </c>
      <c r="U13" s="1">
        <v>502</v>
      </c>
      <c r="V13" s="1">
        <v>593</v>
      </c>
      <c r="W13" s="1">
        <v>574</v>
      </c>
    </row>
    <row r="14" spans="1:24" x14ac:dyDescent="0.25">
      <c r="C14" t="s">
        <v>20</v>
      </c>
      <c r="G14" s="1">
        <v>1890</v>
      </c>
      <c r="H14" s="1">
        <v>18646</v>
      </c>
      <c r="I14" s="1">
        <v>19702</v>
      </c>
      <c r="J14" s="1">
        <v>27500</v>
      </c>
      <c r="K14" s="1">
        <v>39203</v>
      </c>
      <c r="L14" t="s">
        <v>58</v>
      </c>
      <c r="Q14" t="s">
        <v>14</v>
      </c>
      <c r="R14">
        <v>1093</v>
      </c>
      <c r="S14">
        <v>-127</v>
      </c>
      <c r="T14">
        <v>-1654</v>
      </c>
      <c r="U14">
        <v>-1643</v>
      </c>
      <c r="V14">
        <v>-4637</v>
      </c>
      <c r="W14">
        <v>-8500</v>
      </c>
    </row>
    <row r="15" spans="1:24" x14ac:dyDescent="0.25">
      <c r="C15" t="s">
        <v>26</v>
      </c>
      <c r="G15" s="3">
        <f>G14/G11</f>
        <v>6.8852459016393447E-2</v>
      </c>
      <c r="H15" s="3">
        <f>H14/H11</f>
        <v>0.56157576122639519</v>
      </c>
      <c r="I15" s="3">
        <f>I14/I11</f>
        <v>0.55004327312320278</v>
      </c>
      <c r="J15" s="3">
        <f>J14/J11</f>
        <v>0.53321441036181016</v>
      </c>
      <c r="K15" s="3">
        <f>K14/K11</f>
        <v>0.61363031602673468</v>
      </c>
      <c r="L15" t="s">
        <v>59</v>
      </c>
      <c r="Q15" t="s">
        <v>15</v>
      </c>
      <c r="R15">
        <v>12061</v>
      </c>
      <c r="S15">
        <v>13764</v>
      </c>
      <c r="T15">
        <v>16736</v>
      </c>
      <c r="U15">
        <v>18085</v>
      </c>
      <c r="V15">
        <v>19962</v>
      </c>
      <c r="W15">
        <v>27537</v>
      </c>
      <c r="X15">
        <v>32000</v>
      </c>
    </row>
    <row r="17" spans="1:18" x14ac:dyDescent="0.25">
      <c r="C17" t="s">
        <v>38</v>
      </c>
      <c r="G17" s="1">
        <f t="shared" ref="G17:J17" si="0">S10-S13-S12</f>
        <v>-4151</v>
      </c>
      <c r="H17" s="1">
        <f t="shared" si="0"/>
        <v>13662</v>
      </c>
      <c r="I17" s="1">
        <f t="shared" si="0"/>
        <v>15867</v>
      </c>
      <c r="J17" s="1">
        <f t="shared" si="0"/>
        <v>17490</v>
      </c>
      <c r="K17" s="1">
        <f>W10-W13-W12</f>
        <v>30419</v>
      </c>
      <c r="L17" s="1" t="s">
        <v>53</v>
      </c>
    </row>
    <row r="18" spans="1:18" x14ac:dyDescent="0.25">
      <c r="C18" t="s">
        <v>9</v>
      </c>
      <c r="G18" s="1">
        <f>G17*G19</f>
        <v>-1037.75</v>
      </c>
      <c r="H18" s="1">
        <f>H17*H19</f>
        <v>3415.5</v>
      </c>
      <c r="I18" s="1">
        <f>I17*I19</f>
        <v>3966.75</v>
      </c>
      <c r="J18" s="1">
        <f>J17*J19</f>
        <v>4372.5</v>
      </c>
      <c r="K18" s="1">
        <f>K17*K19</f>
        <v>7604.75</v>
      </c>
      <c r="L18" t="s">
        <v>57</v>
      </c>
    </row>
    <row r="19" spans="1:18" x14ac:dyDescent="0.25">
      <c r="C19" t="s">
        <v>25</v>
      </c>
      <c r="G19" s="3">
        <v>0.25</v>
      </c>
      <c r="H19" s="3">
        <v>0.25</v>
      </c>
      <c r="I19" s="3">
        <v>0.25</v>
      </c>
      <c r="J19" s="3">
        <v>0.25</v>
      </c>
      <c r="K19" s="3">
        <v>0.25</v>
      </c>
      <c r="L19" t="s">
        <v>54</v>
      </c>
    </row>
    <row r="21" spans="1:18" x14ac:dyDescent="0.25">
      <c r="C21" t="s">
        <v>21</v>
      </c>
      <c r="G21">
        <f>G17*0.75</f>
        <v>-3113.25</v>
      </c>
      <c r="H21">
        <f>H17*0.75</f>
        <v>10246.5</v>
      </c>
      <c r="I21">
        <f>I17*0.75</f>
        <v>11900.25</v>
      </c>
      <c r="J21">
        <f>J17*0.75</f>
        <v>13117.5</v>
      </c>
      <c r="K21">
        <f>K17*0.75</f>
        <v>22814.25</v>
      </c>
      <c r="L21" t="s">
        <v>56</v>
      </c>
    </row>
    <row r="22" spans="1:18" x14ac:dyDescent="0.25">
      <c r="C22" t="s">
        <v>22</v>
      </c>
      <c r="G22" s="3">
        <f>G21/G11</f>
        <v>-0.11341530054644809</v>
      </c>
      <c r="H22" s="3">
        <f>H21/H11</f>
        <v>0.30860163238261601</v>
      </c>
      <c r="I22" s="3">
        <f>I21/I11</f>
        <v>0.3322328931572629</v>
      </c>
      <c r="J22" s="3">
        <f>J21/J11</f>
        <v>0.25434327374258348</v>
      </c>
      <c r="K22" s="3">
        <f>K21/K11</f>
        <v>0.35710316652840168</v>
      </c>
      <c r="L22" t="s">
        <v>61</v>
      </c>
    </row>
    <row r="24" spans="1:18" x14ac:dyDescent="0.25">
      <c r="A24" s="4" t="s">
        <v>24</v>
      </c>
      <c r="C24" t="s">
        <v>39</v>
      </c>
      <c r="G24" s="1">
        <f t="shared" ref="G24:J24" si="1">SUM(S12:S13)</f>
        <v>6041</v>
      </c>
      <c r="H24" s="1">
        <f t="shared" si="1"/>
        <v>4984</v>
      </c>
      <c r="I24" s="1">
        <f t="shared" si="1"/>
        <v>3835</v>
      </c>
      <c r="J24" s="1">
        <f t="shared" si="1"/>
        <v>10010</v>
      </c>
      <c r="K24" s="1">
        <f>SUM(W12:W13)</f>
        <v>8784</v>
      </c>
    </row>
    <row r="25" spans="1:18" x14ac:dyDescent="0.25">
      <c r="C25" t="s">
        <v>22</v>
      </c>
      <c r="G25" s="3">
        <f>G24/G11</f>
        <v>0.22007285974499088</v>
      </c>
      <c r="H25" s="3">
        <f>H24/H11</f>
        <v>0.15010691804957382</v>
      </c>
      <c r="I25" s="3">
        <f>I24/I11</f>
        <v>0.10706608224685223</v>
      </c>
      <c r="J25" s="3">
        <f>J24/J11</f>
        <v>0.19409004537169891</v>
      </c>
      <c r="K25" s="3">
        <f>K24/K11</f>
        <v>0.13749276065553243</v>
      </c>
      <c r="L25" t="s">
        <v>55</v>
      </c>
    </row>
    <row r="27" spans="1:18" x14ac:dyDescent="0.25">
      <c r="C27" t="s">
        <v>33</v>
      </c>
      <c r="G27" s="1"/>
      <c r="H27" s="1">
        <f t="shared" ref="H27:J27" si="2">T11-S11+T13</f>
        <v>404</v>
      </c>
      <c r="I27" s="1">
        <f t="shared" si="2"/>
        <v>433</v>
      </c>
      <c r="J27" s="1">
        <f t="shared" si="2"/>
        <v>960</v>
      </c>
      <c r="K27" s="1">
        <f>W11-V11+W13</f>
        <v>583</v>
      </c>
      <c r="L27" t="s">
        <v>63</v>
      </c>
    </row>
    <row r="28" spans="1:18" x14ac:dyDescent="0.25">
      <c r="C28" t="s">
        <v>22</v>
      </c>
      <c r="G28" s="3"/>
      <c r="H28" s="3">
        <f>H27/H11</f>
        <v>1.2167575219106707E-2</v>
      </c>
      <c r="I28" s="3">
        <f>I27/I11</f>
        <v>1.2088556352773668E-2</v>
      </c>
      <c r="J28" s="3">
        <f>J27/J11</f>
        <v>1.8614030325357737E-2</v>
      </c>
      <c r="K28" s="3">
        <f>K27/K11</f>
        <v>9.1254871883168723E-3</v>
      </c>
      <c r="L28" t="s">
        <v>62</v>
      </c>
      <c r="Q28" s="6" t="s">
        <v>70</v>
      </c>
      <c r="R28" s="7"/>
    </row>
    <row r="29" spans="1:18" x14ac:dyDescent="0.25">
      <c r="Q29" s="7" t="s">
        <v>46</v>
      </c>
      <c r="R29" s="12">
        <v>0.3</v>
      </c>
    </row>
    <row r="30" spans="1:18" x14ac:dyDescent="0.25">
      <c r="C30" t="s">
        <v>40</v>
      </c>
      <c r="H30">
        <f t="shared" ref="H30:J30" si="3">T14-S14</f>
        <v>-1527</v>
      </c>
      <c r="I30">
        <f t="shared" si="3"/>
        <v>11</v>
      </c>
      <c r="J30">
        <f t="shared" si="3"/>
        <v>-2994</v>
      </c>
      <c r="K30">
        <f>W14-V14</f>
        <v>-3863</v>
      </c>
      <c r="L30" t="s">
        <v>41</v>
      </c>
      <c r="M30" t="s">
        <v>42</v>
      </c>
      <c r="Q30" s="7" t="s">
        <v>30</v>
      </c>
      <c r="R30" s="12">
        <v>0.15</v>
      </c>
    </row>
    <row r="31" spans="1:18" x14ac:dyDescent="0.25">
      <c r="C31" t="s">
        <v>22</v>
      </c>
      <c r="G31" s="3"/>
      <c r="H31" s="3">
        <f>H30/H11</f>
        <v>-4.5989820196970156E-2</v>
      </c>
      <c r="I31" s="3">
        <f>I30/I11</f>
        <v>3.0709958401965438E-4</v>
      </c>
      <c r="J31" s="3">
        <f>J30/J11</f>
        <v>-5.8052507077209443E-2</v>
      </c>
      <c r="K31" s="3">
        <f>K30/K11</f>
        <v>-6.046613552052843E-2</v>
      </c>
      <c r="L31" t="s">
        <v>64</v>
      </c>
      <c r="Q31" s="7" t="s">
        <v>33</v>
      </c>
      <c r="R31" s="12">
        <v>0.02</v>
      </c>
    </row>
    <row r="32" spans="1:18" x14ac:dyDescent="0.25">
      <c r="Q32" s="7" t="s">
        <v>14</v>
      </c>
      <c r="R32" s="12">
        <v>-0.05</v>
      </c>
    </row>
    <row r="33" spans="1:18" x14ac:dyDescent="0.25">
      <c r="A33" s="4" t="s">
        <v>28</v>
      </c>
      <c r="C33" t="s">
        <v>29</v>
      </c>
      <c r="E33" s="4"/>
      <c r="H33">
        <f>H21</f>
        <v>10246.5</v>
      </c>
      <c r="I33">
        <f>I21</f>
        <v>11900.25</v>
      </c>
      <c r="J33">
        <f>J21</f>
        <v>13117.5</v>
      </c>
      <c r="K33">
        <f>K21</f>
        <v>22814.25</v>
      </c>
      <c r="L33" t="s">
        <v>43</v>
      </c>
      <c r="Q33" s="13" t="s">
        <v>49</v>
      </c>
      <c r="R33" s="12">
        <f>R29+R30-R31-R32</f>
        <v>0.47999999999999993</v>
      </c>
    </row>
    <row r="34" spans="1:18" x14ac:dyDescent="0.25">
      <c r="C34" t="s">
        <v>30</v>
      </c>
      <c r="E34" s="4"/>
      <c r="G34" s="1"/>
      <c r="H34" s="1">
        <f>H24</f>
        <v>4984</v>
      </c>
      <c r="I34" s="1">
        <f>I24</f>
        <v>3835</v>
      </c>
      <c r="J34" s="1">
        <f>J24</f>
        <v>10010</v>
      </c>
      <c r="K34" s="1">
        <f>K24</f>
        <v>8784</v>
      </c>
      <c r="L34" t="s">
        <v>43</v>
      </c>
      <c r="Q34" s="7"/>
      <c r="R34" s="12"/>
    </row>
    <row r="35" spans="1:18" x14ac:dyDescent="0.25">
      <c r="C35" t="s">
        <v>33</v>
      </c>
      <c r="E35" s="4"/>
      <c r="G35" s="1"/>
      <c r="H35" s="1">
        <f>H27</f>
        <v>404</v>
      </c>
      <c r="I35" s="1">
        <f>I27</f>
        <v>433</v>
      </c>
      <c r="J35" s="1">
        <f>J27</f>
        <v>960</v>
      </c>
      <c r="K35" s="1">
        <f>K27</f>
        <v>583</v>
      </c>
      <c r="L35" t="s">
        <v>42</v>
      </c>
      <c r="Q35" s="7" t="s">
        <v>67</v>
      </c>
      <c r="R35" s="12">
        <v>2.5000000000000001E-2</v>
      </c>
    </row>
    <row r="36" spans="1:18" x14ac:dyDescent="0.25">
      <c r="C36" t="s">
        <v>31</v>
      </c>
      <c r="E36" s="4"/>
      <c r="H36">
        <f>H30</f>
        <v>-1527</v>
      </c>
      <c r="I36">
        <f>I30</f>
        <v>11</v>
      </c>
      <c r="J36">
        <f>J30</f>
        <v>-2994</v>
      </c>
      <c r="K36">
        <f>K30</f>
        <v>-3863</v>
      </c>
      <c r="L36" t="s">
        <v>42</v>
      </c>
      <c r="Q36" s="7" t="s">
        <v>68</v>
      </c>
      <c r="R36" s="12">
        <v>0.08</v>
      </c>
    </row>
    <row r="37" spans="1:18" x14ac:dyDescent="0.25">
      <c r="C37" t="s">
        <v>32</v>
      </c>
      <c r="G37" s="8"/>
      <c r="H37" s="8">
        <f>H33+H34-H35-H36</f>
        <v>16353.5</v>
      </c>
      <c r="I37" s="8">
        <f>I33+I34-I35-I36</f>
        <v>15291.25</v>
      </c>
      <c r="J37" s="8">
        <f>J33+J34-J35-J36</f>
        <v>25161.5</v>
      </c>
      <c r="K37" s="8">
        <f>K33+K34-K35-K36</f>
        <v>34878.25</v>
      </c>
      <c r="Q37" s="7" t="s">
        <v>69</v>
      </c>
      <c r="R37" s="12">
        <v>0.2</v>
      </c>
    </row>
    <row r="38" spans="1:18" x14ac:dyDescent="0.25">
      <c r="M38" t="s">
        <v>65</v>
      </c>
    </row>
    <row r="39" spans="1:18" x14ac:dyDescent="0.25">
      <c r="A39" s="4" t="s">
        <v>52</v>
      </c>
      <c r="C39" t="s">
        <v>34</v>
      </c>
      <c r="L39">
        <v>1</v>
      </c>
      <c r="M39">
        <v>2</v>
      </c>
      <c r="N39">
        <v>3</v>
      </c>
      <c r="O39">
        <v>4</v>
      </c>
    </row>
    <row r="40" spans="1:18" x14ac:dyDescent="0.25">
      <c r="C40" t="s">
        <v>45</v>
      </c>
      <c r="L40" s="1">
        <f>K11*R37+K11</f>
        <v>76664.399999999994</v>
      </c>
      <c r="M40" s="1">
        <f>L40*R37+L40</f>
        <v>91997.28</v>
      </c>
      <c r="N40" s="1">
        <f>M40*R37+M40</f>
        <v>110396.736</v>
      </c>
      <c r="O40" s="1">
        <f>N40*R37+N40</f>
        <v>132476.08319999999</v>
      </c>
    </row>
    <row r="41" spans="1:18" x14ac:dyDescent="0.25">
      <c r="C41" t="s">
        <v>47</v>
      </c>
      <c r="L41" s="1">
        <f>L40*R33</f>
        <v>36798.911999999989</v>
      </c>
      <c r="M41" s="1">
        <f>M40*R33</f>
        <v>44158.694399999993</v>
      </c>
      <c r="N41" s="1">
        <f>N40*R33</f>
        <v>52990.433279999997</v>
      </c>
      <c r="O41" s="1">
        <f>O40*R33</f>
        <v>63588.51993599999</v>
      </c>
    </row>
    <row r="42" spans="1:18" x14ac:dyDescent="0.25">
      <c r="C42" t="s">
        <v>50</v>
      </c>
      <c r="L42" s="9">
        <f>1/(1+R36)^L39</f>
        <v>0.92592592592592582</v>
      </c>
      <c r="M42" s="9">
        <f>1/(1+R36)^M39</f>
        <v>0.85733882030178321</v>
      </c>
      <c r="N42" s="9">
        <f>1/(1+R36)^N39</f>
        <v>0.79383224102016958</v>
      </c>
      <c r="O42" s="9">
        <f>1/(1+R36)^O39</f>
        <v>0.73502985279645328</v>
      </c>
    </row>
    <row r="43" spans="1:18" x14ac:dyDescent="0.25">
      <c r="C43" t="s">
        <v>48</v>
      </c>
      <c r="L43" s="1">
        <f>L41*L42</f>
        <v>34073.066666666651</v>
      </c>
      <c r="M43" s="1">
        <f>M41*M42</f>
        <v>37858.962962962956</v>
      </c>
      <c r="N43" s="1">
        <f>N41*N42</f>
        <v>42065.514403292174</v>
      </c>
      <c r="O43" s="1">
        <f>O41*O42</f>
        <v>46739.460448102407</v>
      </c>
    </row>
    <row r="44" spans="1:18" x14ac:dyDescent="0.25">
      <c r="C44" t="s">
        <v>51</v>
      </c>
      <c r="L44" s="1"/>
      <c r="M44" s="1"/>
      <c r="N44" s="1"/>
      <c r="O44" s="1">
        <f>O41*(1+R35)/(R36-R35)</f>
        <v>1185058.7806254542</v>
      </c>
    </row>
    <row r="45" spans="1:18" x14ac:dyDescent="0.25">
      <c r="C45" t="s">
        <v>35</v>
      </c>
      <c r="L45" s="1"/>
      <c r="M45" s="1"/>
      <c r="N45" s="1"/>
      <c r="O45" s="1">
        <f>O44*O42</f>
        <v>871053.58107827196</v>
      </c>
    </row>
    <row r="46" spans="1:18" x14ac:dyDescent="0.25">
      <c r="C46" t="s">
        <v>1</v>
      </c>
      <c r="L46" s="1"/>
      <c r="M46" s="1"/>
      <c r="N46" s="1"/>
      <c r="O46" s="1">
        <f>SUM(L43:O43)+O45</f>
        <v>1031790.5855592962</v>
      </c>
    </row>
    <row r="47" spans="1:18" x14ac:dyDescent="0.25">
      <c r="C47" t="s">
        <v>0</v>
      </c>
      <c r="L47" s="1"/>
      <c r="M47" s="1"/>
      <c r="N47" s="1"/>
      <c r="O47" s="1">
        <v>16178</v>
      </c>
    </row>
    <row r="51" spans="1:24" x14ac:dyDescent="0.25">
      <c r="C51" t="s">
        <v>66</v>
      </c>
      <c r="O51" s="11"/>
    </row>
    <row r="53" spans="1:24" x14ac:dyDescent="0.25">
      <c r="O53" s="9"/>
    </row>
    <row r="54" spans="1:24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2025-12-31T20:22:19Z</dcterms:created>
  <dcterms:modified xsi:type="dcterms:W3CDTF">2026-01-12T21:13:09Z</dcterms:modified>
</cp:coreProperties>
</file>